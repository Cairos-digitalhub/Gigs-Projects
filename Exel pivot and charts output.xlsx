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tables/table7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"/>
    </mc:Choice>
  </mc:AlternateContent>
  <xr:revisionPtr revIDLastSave="0" documentId="13_ncr:1_{0004C3F7-D2BC-4E39-8945-F1C50713BA83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raw data" sheetId="1" r:id="rId1"/>
    <sheet name="coded data" sheetId="2" r:id="rId2"/>
    <sheet name="pivot and charts" sheetId="3" r:id="rId3"/>
    <sheet name="inference" sheetId="4" r:id="rId4"/>
  </sheets>
  <definedNames>
    <definedName name="_xlnm._FilterDatabase" localSheetId="1" hidden="1">'coded data'!$A$1:$B$153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1" l="1"/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</calcChain>
</file>

<file path=xl/sharedStrings.xml><?xml version="1.0" encoding="utf-8"?>
<sst xmlns="http://schemas.openxmlformats.org/spreadsheetml/2006/main" count="580" uniqueCount="123">
  <si>
    <t>ID</t>
  </si>
  <si>
    <t>AGE</t>
  </si>
  <si>
    <t>NATIONALITY</t>
  </si>
  <si>
    <t>COURSE OF STUDY</t>
  </si>
  <si>
    <t>USW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</si>
  <si>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</si>
  <si>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</si>
  <si>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</si>
  <si>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</si>
  <si>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</si>
  <si>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</si>
  <si>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</si>
  <si>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</si>
  <si>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</si>
  <si>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</si>
  <si>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</si>
  <si>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</si>
  <si>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</si>
  <si>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NIGERIAN</t>
  </si>
  <si>
    <t>1P</t>
  </si>
  <si>
    <t>1KC</t>
  </si>
  <si>
    <t>1E</t>
  </si>
  <si>
    <t>1MB</t>
  </si>
  <si>
    <t>1C</t>
  </si>
  <si>
    <t>1R</t>
  </si>
  <si>
    <t>1CM</t>
  </si>
  <si>
    <t>1FAD</t>
  </si>
  <si>
    <t>1W,E</t>
  </si>
  <si>
    <t>1T</t>
  </si>
  <si>
    <t>AW</t>
  </si>
  <si>
    <t>1K</t>
  </si>
  <si>
    <t>1FAB</t>
  </si>
  <si>
    <t>1S</t>
  </si>
  <si>
    <t>1D</t>
  </si>
  <si>
    <t>WELSH</t>
  </si>
  <si>
    <t>BRITISH</t>
  </si>
  <si>
    <t>INDIAN</t>
  </si>
  <si>
    <t>1F</t>
  </si>
  <si>
    <t>1HWB</t>
  </si>
  <si>
    <t>1S,HWB</t>
  </si>
  <si>
    <t>N</t>
  </si>
  <si>
    <t>DUTCH</t>
  </si>
  <si>
    <t>PAKISTAN</t>
  </si>
  <si>
    <t>1RS</t>
  </si>
  <si>
    <t>SOMALI</t>
  </si>
  <si>
    <t>GERMAN</t>
  </si>
  <si>
    <t>1F,R,E</t>
  </si>
  <si>
    <t>IRISH</t>
  </si>
  <si>
    <t>SRILANKAN</t>
  </si>
  <si>
    <t>BANGLADESH</t>
  </si>
  <si>
    <t>FRANCE</t>
  </si>
  <si>
    <t>1W</t>
  </si>
  <si>
    <t>PAKISTANI</t>
  </si>
  <si>
    <t>1DC</t>
  </si>
  <si>
    <t>COLOMBIAN</t>
  </si>
  <si>
    <t>MALAYSIAN</t>
  </si>
  <si>
    <t>CHINESE</t>
  </si>
  <si>
    <t>1H</t>
  </si>
  <si>
    <t>1GP</t>
  </si>
  <si>
    <t>1BR</t>
  </si>
  <si>
    <t>1MJ</t>
  </si>
  <si>
    <t>1ACU</t>
  </si>
  <si>
    <t>1KD</t>
  </si>
  <si>
    <t>N3</t>
  </si>
  <si>
    <t>1H, PE1</t>
  </si>
  <si>
    <t>1HB</t>
  </si>
  <si>
    <t>IRAQ</t>
  </si>
  <si>
    <t>1B</t>
  </si>
  <si>
    <t>1VIT</t>
  </si>
  <si>
    <t>YEMEN</t>
  </si>
  <si>
    <t>1W,S</t>
  </si>
  <si>
    <t>1E,M</t>
  </si>
  <si>
    <t>JAMAICAN</t>
  </si>
  <si>
    <t>1SPA</t>
  </si>
  <si>
    <t>1CDP</t>
  </si>
  <si>
    <t>Health courses</t>
  </si>
  <si>
    <t>No Health courses</t>
  </si>
  <si>
    <t>Yes</t>
  </si>
  <si>
    <t>No</t>
  </si>
  <si>
    <t>Rather not say</t>
  </si>
  <si>
    <t>&lt;2</t>
  </si>
  <si>
    <t>&gt;2</t>
  </si>
  <si>
    <t>&lt;1</t>
  </si>
  <si>
    <t>Nationality</t>
  </si>
  <si>
    <t>Frequency</t>
  </si>
  <si>
    <t>Percent</t>
  </si>
  <si>
    <t>Valid Percent</t>
  </si>
  <si>
    <t>Cumulative Percent</t>
  </si>
  <si>
    <t>Valid</t>
  </si>
  <si>
    <t>Total</t>
  </si>
  <si>
    <t>Percentage</t>
  </si>
  <si>
    <t>AGE RANGE</t>
  </si>
  <si>
    <t>Age</t>
  </si>
  <si>
    <t>18-21</t>
  </si>
  <si>
    <t>22-29</t>
  </si>
  <si>
    <t>30-39</t>
  </si>
  <si>
    <t>40-49</t>
  </si>
  <si>
    <t>50-59</t>
  </si>
  <si>
    <t>Age 18-21</t>
  </si>
  <si>
    <t>Age 22-29</t>
  </si>
  <si>
    <t>Age 30-39</t>
  </si>
  <si>
    <t>Age 40-49</t>
  </si>
  <si>
    <t>Age 50-59</t>
  </si>
  <si>
    <t>Course</t>
  </si>
  <si>
    <t>Health related</t>
  </si>
  <si>
    <t>Not health related</t>
  </si>
  <si>
    <t>Missing</t>
  </si>
  <si>
    <t>System</t>
  </si>
  <si>
    <t>Course of Study</t>
  </si>
  <si>
    <t>Do you use OTC Analgestics?</t>
  </si>
  <si>
    <t>yes</t>
  </si>
  <si>
    <t>Cases</t>
  </si>
  <si>
    <t>Nationality * Do you use OTC Analgestics?</t>
  </si>
  <si>
    <t>Chi-Square Tests</t>
  </si>
  <si>
    <t>Value</t>
  </si>
  <si>
    <t>df</t>
  </si>
  <si>
    <t>Asymp. Sig. (2-sided)</t>
  </si>
  <si>
    <t>Pearson Chi-Square</t>
  </si>
  <si>
    <t>Likelihood Ratio</t>
  </si>
  <si>
    <t>N of Valid Cases</t>
  </si>
  <si>
    <t>a. 48 cells (88.9%) have expected count less than 5. The minimum expected count is .04.</t>
  </si>
  <si>
    <r>
      <t>52.515</t>
    </r>
    <r>
      <rPr>
        <vertAlign val="superscript"/>
        <sz val="9"/>
        <color indexed="8"/>
        <rFont val="Arial"/>
        <family val="2"/>
      </rPr>
      <t>a</t>
    </r>
  </si>
  <si>
    <t>this is statistically significant  Chi &lt; 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</si>
</sst>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##0"/>
    <numFmt numFmtId="165" formatCode="####.0"/>
    <numFmt numFmtId="166" formatCode="###0.0"/>
    <numFmt numFmtId="167" formatCode="###0.0%"/>
    <numFmt numFmtId="168" formatCode="####.000"/>
    <numFmt numFmtId="169" formatCode="###0.00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"/>
      <name val="Arial Bold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72"/>
      <color indexed="8"/>
      <name val="Arial Bold"/>
    </font>
    <font>
      <b/>
      <sz val="36"/>
      <color indexed="8"/>
      <name val="Arial Bold"/>
    </font>
    <font>
      <vertAlign val="superscript"/>
      <sz val="9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7">
    <border>
      <left/>
      <right/>
      <top/>
      <bottom/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theme="4" tint="0.39997558519241921"/>
      </bottom>
      <diagonal/>
    </border>
    <border>
      <left/>
      <right style="thick">
        <color indexed="8"/>
      </right>
      <top style="thick">
        <color indexed="8"/>
      </top>
      <bottom style="thin">
        <color theme="4" tint="0.39997558519241921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theme="4" tint="0.39997558519241921"/>
      </bottom>
      <diagonal/>
    </border>
    <border>
      <left style="thick">
        <color indexed="8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ck">
        <color indexed="8"/>
      </right>
      <top style="thin">
        <color theme="4" tint="0.39997558519241921"/>
      </top>
      <bottom style="thin">
        <color theme="4" tint="0.39997558519241921"/>
      </bottom>
      <diagonal/>
    </border>
    <border>
      <left style="thick">
        <color indexed="8"/>
      </left>
      <right style="thin">
        <color indexed="8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ck">
        <color indexed="8"/>
      </right>
      <top style="thin">
        <color theme="4" tint="0.39997558519241921"/>
      </top>
      <bottom/>
      <diagonal/>
    </border>
    <border>
      <left style="thick">
        <color indexed="8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ck">
        <color indexed="8"/>
      </right>
      <top/>
      <bottom/>
      <diagonal/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indexed="8"/>
      </left>
      <right/>
      <top style="thin">
        <color indexed="8"/>
      </top>
      <bottom style="thick">
        <color indexed="8"/>
      </bottom>
      <diagonal/>
    </border>
    <border>
      <left style="thin">
        <color indexed="8"/>
      </left>
      <right/>
      <top style="thick">
        <color indexed="8"/>
      </top>
      <bottom/>
      <diagonal/>
    </border>
    <border>
      <left style="thin">
        <color indexed="8"/>
      </left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22">
    <xf numFmtId="0" fontId="0" fillId="0" borderId="0" xfId="0"/>
    <xf numFmtId="0" fontId="1" fillId="0" borderId="0" xfId="1"/>
    <xf numFmtId="0" fontId="3" fillId="0" borderId="3" xfId="1" applyFont="1" applyBorder="1" applyAlignment="1">
      <alignment horizontal="center" wrapText="1"/>
    </xf>
    <xf numFmtId="0" fontId="3" fillId="0" borderId="4" xfId="1" applyFont="1" applyBorder="1" applyAlignment="1">
      <alignment horizontal="center" wrapText="1"/>
    </xf>
    <xf numFmtId="0" fontId="3" fillId="0" borderId="5" xfId="1" applyFont="1" applyBorder="1" applyAlignment="1">
      <alignment horizontal="center" wrapText="1"/>
    </xf>
    <xf numFmtId="0" fontId="3" fillId="0" borderId="6" xfId="1" applyFont="1" applyBorder="1" applyAlignment="1">
      <alignment horizontal="left" vertical="top" wrapText="1"/>
    </xf>
    <xf numFmtId="0" fontId="3" fillId="0" borderId="7" xfId="1" applyFont="1" applyBorder="1" applyAlignment="1">
      <alignment horizontal="left" vertical="top" wrapText="1"/>
    </xf>
    <xf numFmtId="164" fontId="3" fillId="0" borderId="8" xfId="1" applyNumberFormat="1" applyFont="1" applyBorder="1" applyAlignment="1">
      <alignment horizontal="right" vertical="top"/>
    </xf>
    <xf numFmtId="165" fontId="3" fillId="0" borderId="9" xfId="1" applyNumberFormat="1" applyFont="1" applyBorder="1" applyAlignment="1">
      <alignment horizontal="right" vertical="top"/>
    </xf>
    <xf numFmtId="165" fontId="3" fillId="0" borderId="10" xfId="1" applyNumberFormat="1" applyFont="1" applyBorder="1" applyAlignment="1">
      <alignment horizontal="right" vertical="top"/>
    </xf>
    <xf numFmtId="0" fontId="3" fillId="0" borderId="11" xfId="1" applyFont="1" applyBorder="1" applyAlignment="1">
      <alignment horizontal="left" vertical="top" wrapText="1"/>
    </xf>
    <xf numFmtId="0" fontId="3" fillId="0" borderId="12" xfId="1" applyFont="1" applyBorder="1" applyAlignment="1">
      <alignment horizontal="left" vertical="top" wrapText="1"/>
    </xf>
    <xf numFmtId="164" fontId="3" fillId="0" borderId="13" xfId="1" applyNumberFormat="1" applyFont="1" applyBorder="1" applyAlignment="1">
      <alignment horizontal="right" vertical="top"/>
    </xf>
    <xf numFmtId="166" fontId="3" fillId="0" borderId="14" xfId="1" applyNumberFormat="1" applyFont="1" applyBorder="1" applyAlignment="1">
      <alignment horizontal="right" vertical="top"/>
    </xf>
    <xf numFmtId="166" fontId="3" fillId="0" borderId="15" xfId="1" applyNumberFormat="1" applyFont="1" applyBorder="1" applyAlignment="1">
      <alignment horizontal="right" vertical="top"/>
    </xf>
    <xf numFmtId="165" fontId="3" fillId="0" borderId="14" xfId="1" applyNumberFormat="1" applyFont="1" applyBorder="1" applyAlignment="1">
      <alignment horizontal="right" vertical="top"/>
    </xf>
    <xf numFmtId="0" fontId="3" fillId="0" borderId="16" xfId="1" applyFont="1" applyBorder="1" applyAlignment="1">
      <alignment horizontal="left" vertical="top" wrapText="1"/>
    </xf>
    <xf numFmtId="0" fontId="3" fillId="0" borderId="17" xfId="1" applyFont="1" applyBorder="1" applyAlignment="1">
      <alignment horizontal="left" vertical="top" wrapText="1"/>
    </xf>
    <xf numFmtId="164" fontId="3" fillId="0" borderId="18" xfId="1" applyNumberFormat="1" applyFont="1" applyBorder="1" applyAlignment="1">
      <alignment horizontal="right" vertical="top"/>
    </xf>
    <xf numFmtId="166" fontId="3" fillId="0" borderId="19" xfId="1" applyNumberFormat="1" applyFont="1" applyBorder="1" applyAlignment="1">
      <alignment horizontal="right" vertical="top"/>
    </xf>
    <xf numFmtId="0" fontId="3" fillId="0" borderId="20" xfId="1" applyFont="1" applyBorder="1" applyAlignment="1">
      <alignment horizontal="left" vertical="top" wrapText="1"/>
    </xf>
    <xf numFmtId="0" fontId="3" fillId="0" borderId="0" xfId="1" applyFont="1" applyAlignment="1">
      <alignment horizontal="center" wrapText="1"/>
    </xf>
    <xf numFmtId="10" fontId="0" fillId="0" borderId="0" xfId="0" applyNumberFormat="1"/>
    <xf numFmtId="166" fontId="3" fillId="0" borderId="9" xfId="1" applyNumberFormat="1" applyFont="1" applyBorder="1" applyAlignment="1">
      <alignment horizontal="right" vertical="top"/>
    </xf>
    <xf numFmtId="166" fontId="3" fillId="0" borderId="10" xfId="1" applyNumberFormat="1" applyFont="1" applyBorder="1" applyAlignment="1">
      <alignment horizontal="right" vertical="top"/>
    </xf>
    <xf numFmtId="9" fontId="0" fillId="0" borderId="0" xfId="0" applyNumberFormat="1"/>
    <xf numFmtId="0" fontId="4" fillId="2" borderId="2" xfId="1" applyFont="1" applyFill="1" applyBorder="1" applyAlignment="1">
      <alignment horizontal="left" wrapText="1"/>
    </xf>
    <xf numFmtId="0" fontId="4" fillId="2" borderId="3" xfId="1" applyFont="1" applyFill="1" applyBorder="1" applyAlignment="1">
      <alignment horizontal="center" wrapText="1"/>
    </xf>
    <xf numFmtId="0" fontId="3" fillId="3" borderId="22" xfId="1" applyFont="1" applyFill="1" applyBorder="1" applyAlignment="1">
      <alignment horizontal="left" vertical="top" wrapText="1"/>
    </xf>
    <xf numFmtId="164" fontId="3" fillId="3" borderId="23" xfId="1" applyNumberFormat="1" applyFont="1" applyFill="1" applyBorder="1" applyAlignment="1">
      <alignment horizontal="right" vertical="top"/>
    </xf>
    <xf numFmtId="0" fontId="3" fillId="0" borderId="25" xfId="1" applyFont="1" applyBorder="1" applyAlignment="1">
      <alignment horizontal="left" vertical="top" wrapText="1"/>
    </xf>
    <xf numFmtId="164" fontId="3" fillId="0" borderId="26" xfId="1" applyNumberFormat="1" applyFont="1" applyBorder="1" applyAlignment="1">
      <alignment horizontal="right" vertical="top"/>
    </xf>
    <xf numFmtId="0" fontId="3" fillId="3" borderId="25" xfId="1" applyFont="1" applyFill="1" applyBorder="1" applyAlignment="1">
      <alignment horizontal="left" vertical="top" wrapText="1"/>
    </xf>
    <xf numFmtId="164" fontId="3" fillId="3" borderId="26" xfId="1" applyNumberFormat="1" applyFont="1" applyFill="1" applyBorder="1" applyAlignment="1">
      <alignment horizontal="right" vertical="top"/>
    </xf>
    <xf numFmtId="0" fontId="3" fillId="0" borderId="16" xfId="1" applyFont="1" applyBorder="1" applyAlignment="1">
      <alignment horizontal="center" wrapText="1"/>
    </xf>
    <xf numFmtId="0" fontId="3" fillId="0" borderId="6" xfId="1" applyFont="1" applyBorder="1" applyAlignment="1">
      <alignment horizontal="right" vertical="top"/>
    </xf>
    <xf numFmtId="0" fontId="3" fillId="0" borderId="0" xfId="1" applyFont="1" applyAlignment="1">
      <alignment horizontal="left" vertical="top" wrapText="1"/>
    </xf>
    <xf numFmtId="0" fontId="3" fillId="0" borderId="11" xfId="1" applyFont="1" applyBorder="1" applyAlignment="1">
      <alignment horizontal="right" vertical="top"/>
    </xf>
    <xf numFmtId="164" fontId="3" fillId="3" borderId="21" xfId="1" applyNumberFormat="1" applyFont="1" applyFill="1" applyBorder="1" applyAlignment="1">
      <alignment horizontal="right" vertical="top"/>
    </xf>
    <xf numFmtId="164" fontId="3" fillId="0" borderId="24" xfId="1" applyNumberFormat="1" applyFont="1" applyBorder="1" applyAlignment="1">
      <alignment horizontal="right" vertical="top"/>
    </xf>
    <xf numFmtId="164" fontId="3" fillId="3" borderId="24" xfId="1" applyNumberFormat="1" applyFont="1" applyFill="1" applyBorder="1" applyAlignment="1">
      <alignment horizontal="right" vertical="top"/>
    </xf>
    <xf numFmtId="0" fontId="4" fillId="2" borderId="17" xfId="1" applyFont="1" applyFill="1" applyBorder="1" applyAlignment="1">
      <alignment horizontal="left" wrapText="1"/>
    </xf>
    <xf numFmtId="0" fontId="4" fillId="2" borderId="16" xfId="1" applyFont="1" applyFill="1" applyBorder="1" applyAlignment="1">
      <alignment horizontal="center" wrapText="1"/>
    </xf>
    <xf numFmtId="0" fontId="3" fillId="3" borderId="27" xfId="1" applyFont="1" applyFill="1" applyBorder="1" applyAlignment="1">
      <alignment horizontal="left" vertical="top" wrapText="1"/>
    </xf>
    <xf numFmtId="164" fontId="3" fillId="3" borderId="28" xfId="1" applyNumberFormat="1" applyFont="1" applyFill="1" applyBorder="1" applyAlignment="1">
      <alignment horizontal="right" vertical="top"/>
    </xf>
    <xf numFmtId="0" fontId="5" fillId="2" borderId="17" xfId="1" applyFont="1" applyFill="1" applyBorder="1" applyAlignment="1">
      <alignment horizontal="left" wrapText="1"/>
    </xf>
    <xf numFmtId="0" fontId="6" fillId="3" borderId="22" xfId="1" applyFont="1" applyFill="1" applyBorder="1" applyAlignment="1">
      <alignment horizontal="left" vertical="top" wrapText="1"/>
    </xf>
    <xf numFmtId="0" fontId="6" fillId="0" borderId="25" xfId="1" applyFont="1" applyBorder="1" applyAlignment="1">
      <alignment horizontal="left" vertical="top" wrapText="1"/>
    </xf>
    <xf numFmtId="0" fontId="6" fillId="3" borderId="25" xfId="1" applyFont="1" applyFill="1" applyBorder="1" applyAlignment="1">
      <alignment horizontal="left" vertical="top" wrapText="1"/>
    </xf>
    <xf numFmtId="0" fontId="6" fillId="3" borderId="27" xfId="1" applyFont="1" applyFill="1" applyBorder="1" applyAlignment="1">
      <alignment horizontal="left" vertical="top" wrapText="1"/>
    </xf>
    <xf numFmtId="0" fontId="6" fillId="0" borderId="7" xfId="1" applyFont="1" applyBorder="1" applyAlignment="1">
      <alignment horizontal="left" vertical="top" wrapText="1"/>
    </xf>
    <xf numFmtId="0" fontId="6" fillId="0" borderId="12" xfId="1" applyFont="1" applyBorder="1" applyAlignment="1">
      <alignment horizontal="left" vertical="top" wrapText="1"/>
    </xf>
    <xf numFmtId="0" fontId="9" fillId="0" borderId="0" xfId="0" applyFont="1"/>
    <xf numFmtId="0" fontId="3" fillId="0" borderId="15" xfId="1" applyFont="1" applyBorder="1" applyAlignment="1">
      <alignment horizontal="left" vertical="top" wrapText="1"/>
    </xf>
    <xf numFmtId="0" fontId="3" fillId="0" borderId="14" xfId="1" applyFont="1" applyBorder="1" applyAlignment="1">
      <alignment horizontal="left" vertical="top" wrapText="1"/>
    </xf>
    <xf numFmtId="0" fontId="3" fillId="0" borderId="19" xfId="1" applyFont="1" applyBorder="1" applyAlignment="1">
      <alignment horizontal="left" vertical="top" wrapText="1"/>
    </xf>
    <xf numFmtId="0" fontId="3" fillId="0" borderId="1" xfId="1" applyFont="1" applyBorder="1" applyAlignment="1">
      <alignment horizontal="center" wrapText="1"/>
    </xf>
    <xf numFmtId="164" fontId="3" fillId="0" borderId="6" xfId="1" applyNumberFormat="1" applyFont="1" applyBorder="1" applyAlignment="1">
      <alignment horizontal="right" vertical="top"/>
    </xf>
    <xf numFmtId="164" fontId="3" fillId="0" borderId="11" xfId="1" applyNumberFormat="1" applyFont="1" applyBorder="1" applyAlignment="1">
      <alignment horizontal="right" vertical="top"/>
    </xf>
    <xf numFmtId="0" fontId="7" fillId="2" borderId="29" xfId="0" applyFont="1" applyFill="1" applyBorder="1"/>
    <xf numFmtId="0" fontId="2" fillId="0" borderId="0" xfId="2" applyFont="1" applyAlignment="1">
      <alignment horizontal="center" vertical="center" wrapText="1"/>
    </xf>
    <xf numFmtId="0" fontId="1" fillId="0" borderId="0" xfId="2"/>
    <xf numFmtId="0" fontId="3" fillId="0" borderId="33" xfId="2" applyFont="1" applyBorder="1" applyAlignment="1">
      <alignment horizontal="center" wrapText="1"/>
    </xf>
    <xf numFmtId="0" fontId="3" fillId="0" borderId="34" xfId="2" applyFont="1" applyBorder="1" applyAlignment="1">
      <alignment horizontal="center" wrapText="1"/>
    </xf>
    <xf numFmtId="0" fontId="3" fillId="0" borderId="35" xfId="2" applyFont="1" applyBorder="1" applyAlignment="1">
      <alignment horizontal="center" wrapText="1"/>
    </xf>
    <xf numFmtId="0" fontId="3" fillId="0" borderId="7" xfId="2" applyFont="1" applyBorder="1" applyAlignment="1">
      <alignment horizontal="left" vertical="top" wrapText="1"/>
    </xf>
    <xf numFmtId="164" fontId="3" fillId="0" borderId="8" xfId="2" applyNumberFormat="1" applyFont="1" applyBorder="1" applyAlignment="1">
      <alignment horizontal="right" vertical="top"/>
    </xf>
    <xf numFmtId="164" fontId="3" fillId="0" borderId="9" xfId="2" applyNumberFormat="1" applyFont="1" applyBorder="1" applyAlignment="1">
      <alignment horizontal="right" vertical="top"/>
    </xf>
    <xf numFmtId="164" fontId="3" fillId="0" borderId="10" xfId="2" applyNumberFormat="1" applyFont="1" applyBorder="1" applyAlignment="1">
      <alignment horizontal="right" vertical="top"/>
    </xf>
    <xf numFmtId="0" fontId="3" fillId="0" borderId="12" xfId="2" applyFont="1" applyBorder="1" applyAlignment="1">
      <alignment horizontal="left" vertical="top" wrapText="1"/>
    </xf>
    <xf numFmtId="164" fontId="3" fillId="0" borderId="13" xfId="2" applyNumberFormat="1" applyFont="1" applyBorder="1" applyAlignment="1">
      <alignment horizontal="right" vertical="top"/>
    </xf>
    <xf numFmtId="164" fontId="3" fillId="0" borderId="14" xfId="2" applyNumberFormat="1" applyFont="1" applyBorder="1" applyAlignment="1">
      <alignment horizontal="right" vertical="top"/>
    </xf>
    <xf numFmtId="164" fontId="3" fillId="0" borderId="15" xfId="2" applyNumberFormat="1" applyFont="1" applyBorder="1" applyAlignment="1">
      <alignment horizontal="right" vertical="top"/>
    </xf>
    <xf numFmtId="164" fontId="3" fillId="0" borderId="18" xfId="2" applyNumberFormat="1" applyFont="1" applyBorder="1" applyAlignment="1">
      <alignment horizontal="right" vertical="top"/>
    </xf>
    <xf numFmtId="164" fontId="3" fillId="0" borderId="19" xfId="2" applyNumberFormat="1" applyFont="1" applyBorder="1" applyAlignment="1">
      <alignment horizontal="right" vertical="top"/>
    </xf>
    <xf numFmtId="164" fontId="3" fillId="0" borderId="20" xfId="2" applyNumberFormat="1" applyFont="1" applyBorder="1" applyAlignment="1">
      <alignment horizontal="right" vertical="top"/>
    </xf>
    <xf numFmtId="0" fontId="3" fillId="0" borderId="17" xfId="2" applyFont="1" applyBorder="1" applyAlignment="1">
      <alignment horizontal="left" vertical="top" wrapText="1"/>
    </xf>
    <xf numFmtId="0" fontId="3" fillId="0" borderId="42" xfId="2" applyFont="1" applyBorder="1" applyAlignment="1">
      <alignment horizontal="left" vertical="top" wrapText="1"/>
    </xf>
    <xf numFmtId="164" fontId="3" fillId="0" borderId="3" xfId="2" applyNumberFormat="1" applyFont="1" applyBorder="1" applyAlignment="1">
      <alignment horizontal="right" vertical="top"/>
    </xf>
    <xf numFmtId="167" fontId="3" fillId="0" borderId="4" xfId="2" applyNumberFormat="1" applyFont="1" applyBorder="1" applyAlignment="1">
      <alignment horizontal="right" vertical="top"/>
    </xf>
    <xf numFmtId="164" fontId="3" fillId="0" borderId="4" xfId="2" applyNumberFormat="1" applyFont="1" applyBorder="1" applyAlignment="1">
      <alignment horizontal="right" vertical="top"/>
    </xf>
    <xf numFmtId="167" fontId="3" fillId="0" borderId="5" xfId="2" applyNumberFormat="1" applyFont="1" applyBorder="1" applyAlignment="1">
      <alignment horizontal="right" vertical="top"/>
    </xf>
    <xf numFmtId="0" fontId="3" fillId="0" borderId="3" xfId="2" applyFont="1" applyBorder="1" applyAlignment="1">
      <alignment horizontal="center" wrapText="1"/>
    </xf>
    <xf numFmtId="0" fontId="3" fillId="0" borderId="4" xfId="2" applyFont="1" applyBorder="1" applyAlignment="1">
      <alignment horizontal="center" wrapText="1"/>
    </xf>
    <xf numFmtId="0" fontId="3" fillId="0" borderId="5" xfId="2" applyFont="1" applyBorder="1" applyAlignment="1">
      <alignment horizontal="center" wrapText="1"/>
    </xf>
    <xf numFmtId="0" fontId="3" fillId="0" borderId="36" xfId="2" applyFont="1" applyBorder="1" applyAlignment="1">
      <alignment horizontal="left" vertical="top" wrapText="1"/>
    </xf>
    <xf numFmtId="0" fontId="3" fillId="0" borderId="8" xfId="2" applyFont="1" applyBorder="1" applyAlignment="1">
      <alignment horizontal="right" vertical="top"/>
    </xf>
    <xf numFmtId="168" fontId="3" fillId="0" borderId="10" xfId="2" applyNumberFormat="1" applyFont="1" applyBorder="1" applyAlignment="1">
      <alignment horizontal="right" vertical="top"/>
    </xf>
    <xf numFmtId="0" fontId="3" fillId="0" borderId="37" xfId="2" applyFont="1" applyBorder="1" applyAlignment="1">
      <alignment horizontal="left" vertical="top" wrapText="1"/>
    </xf>
    <xf numFmtId="169" fontId="3" fillId="0" borderId="13" xfId="2" applyNumberFormat="1" applyFont="1" applyBorder="1" applyAlignment="1">
      <alignment horizontal="right" vertical="top"/>
    </xf>
    <xf numFmtId="168" fontId="3" fillId="0" borderId="15" xfId="2" applyNumberFormat="1" applyFont="1" applyBorder="1" applyAlignment="1">
      <alignment horizontal="right" vertical="top"/>
    </xf>
    <xf numFmtId="0" fontId="3" fillId="0" borderId="41" xfId="2" applyFont="1" applyBorder="1" applyAlignment="1">
      <alignment horizontal="left" vertical="top" wrapText="1"/>
    </xf>
    <xf numFmtId="0" fontId="3" fillId="0" borderId="19" xfId="2" applyFont="1" applyBorder="1" applyAlignment="1">
      <alignment horizontal="left" vertical="top" wrapText="1"/>
    </xf>
    <xf numFmtId="0" fontId="3" fillId="0" borderId="20" xfId="2" applyFont="1" applyBorder="1" applyAlignment="1">
      <alignment horizontal="left" vertical="top" wrapText="1"/>
    </xf>
    <xf numFmtId="0" fontId="3" fillId="0" borderId="44" xfId="2" applyFont="1" applyBorder="1" applyAlignment="1">
      <alignment horizontal="center" wrapText="1"/>
    </xf>
    <xf numFmtId="164" fontId="3" fillId="0" borderId="45" xfId="2" applyNumberFormat="1" applyFont="1" applyBorder="1" applyAlignment="1">
      <alignment horizontal="right" vertical="top"/>
    </xf>
    <xf numFmtId="164" fontId="3" fillId="0" borderId="46" xfId="2" applyNumberFormat="1" applyFont="1" applyBorder="1" applyAlignment="1">
      <alignment horizontal="right" vertical="top"/>
    </xf>
    <xf numFmtId="0" fontId="8" fillId="0" borderId="0" xfId="0" applyFont="1"/>
    <xf numFmtId="0" fontId="11" fillId="0" borderId="0" xfId="1" applyFont="1" applyAlignment="1">
      <alignment horizontal="center" vertical="center" wrapText="1"/>
    </xf>
    <xf numFmtId="0" fontId="3" fillId="0" borderId="1" xfId="1" applyFont="1" applyBorder="1" applyAlignment="1">
      <alignment horizontal="left" wrapText="1"/>
    </xf>
    <xf numFmtId="0" fontId="3" fillId="0" borderId="2" xfId="1" applyFont="1" applyBorder="1" applyAlignment="1">
      <alignment horizontal="left" wrapText="1"/>
    </xf>
    <xf numFmtId="0" fontId="3" fillId="0" borderId="6" xfId="1" applyFont="1" applyBorder="1" applyAlignment="1">
      <alignment horizontal="left" vertical="top" wrapText="1"/>
    </xf>
    <xf numFmtId="0" fontId="3" fillId="0" borderId="11" xfId="1" applyFont="1" applyBorder="1" applyAlignment="1">
      <alignment horizontal="left" vertical="top" wrapText="1"/>
    </xf>
    <xf numFmtId="0" fontId="3" fillId="0" borderId="16" xfId="1" applyFont="1" applyBorder="1" applyAlignment="1">
      <alignment horizontal="left" vertical="top" wrapText="1"/>
    </xf>
    <xf numFmtId="0" fontId="10" fillId="0" borderId="0" xfId="1" applyFont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3" fillId="0" borderId="0" xfId="2" applyFont="1" applyAlignment="1">
      <alignment horizontal="left" vertical="top" wrapText="1"/>
    </xf>
    <xf numFmtId="0" fontId="2" fillId="0" borderId="0" xfId="2" applyFont="1" applyAlignment="1">
      <alignment horizontal="center" vertical="center" wrapText="1"/>
    </xf>
    <xf numFmtId="0" fontId="3" fillId="0" borderId="42" xfId="2" applyFont="1" applyBorder="1" applyAlignment="1">
      <alignment horizontal="left" wrapText="1"/>
    </xf>
    <xf numFmtId="0" fontId="3" fillId="0" borderId="43" xfId="2" applyFont="1" applyBorder="1" applyAlignment="1">
      <alignment horizontal="left" vertical="top" wrapText="1"/>
    </xf>
    <xf numFmtId="0" fontId="3" fillId="0" borderId="7" xfId="2" applyFont="1" applyBorder="1" applyAlignment="1">
      <alignment horizontal="left" wrapText="1"/>
    </xf>
    <xf numFmtId="0" fontId="3" fillId="0" borderId="17" xfId="2" applyFont="1" applyBorder="1" applyAlignment="1">
      <alignment horizontal="left" wrapText="1"/>
    </xf>
    <xf numFmtId="0" fontId="3" fillId="0" borderId="30" xfId="2" applyFont="1" applyBorder="1" applyAlignment="1">
      <alignment horizontal="center" wrapText="1"/>
    </xf>
    <xf numFmtId="0" fontId="3" fillId="0" borderId="31" xfId="2" applyFont="1" applyBorder="1" applyAlignment="1">
      <alignment horizontal="center" wrapText="1"/>
    </xf>
    <xf numFmtId="0" fontId="3" fillId="0" borderId="32" xfId="2" applyFont="1" applyBorder="1" applyAlignment="1">
      <alignment horizontal="center" wrapText="1"/>
    </xf>
    <xf numFmtId="0" fontId="3" fillId="0" borderId="35" xfId="2" applyFont="1" applyBorder="1" applyAlignment="1">
      <alignment horizontal="center" wrapText="1"/>
    </xf>
    <xf numFmtId="0" fontId="3" fillId="0" borderId="36" xfId="2" applyFont="1" applyBorder="1" applyAlignment="1">
      <alignment horizontal="left" wrapText="1"/>
    </xf>
    <xf numFmtId="0" fontId="3" fillId="0" borderId="37" xfId="2" applyFont="1" applyBorder="1" applyAlignment="1">
      <alignment horizontal="left" wrapText="1"/>
    </xf>
    <xf numFmtId="0" fontId="3" fillId="0" borderId="41" xfId="2" applyFont="1" applyBorder="1" applyAlignment="1">
      <alignment horizontal="left" wrapText="1"/>
    </xf>
    <xf numFmtId="0" fontId="3" fillId="0" borderId="38" xfId="2" applyFont="1" applyBorder="1" applyAlignment="1">
      <alignment horizontal="center" wrapText="1"/>
    </xf>
    <xf numFmtId="0" fontId="3" fillId="0" borderId="39" xfId="2" applyFont="1" applyBorder="1" applyAlignment="1">
      <alignment horizontal="center" wrapText="1"/>
    </xf>
    <xf numFmtId="0" fontId="3" fillId="0" borderId="40" xfId="2" applyFont="1" applyBorder="1" applyAlignment="1">
      <alignment horizontal="center" wrapText="1"/>
    </xf>
  </cellXfs>
  <cellStyles count="3">
    <cellStyle name="Normal" xfId="0" builtinId="0"/>
    <cellStyle name="Normal_Sheet3" xfId="1" xr:uid="{74F0E790-8B8A-4A62-AD54-F788F1777B21}"/>
    <cellStyle name="Normal_Sheet4" xfId="2" xr:uid="{A587377A-6F7D-45A9-BA03-0ADCB61A78E1}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  <numFmt numFmtId="164" formatCode="###0"/>
      <alignment horizontal="right" vertical="top" textRotation="0" wrapText="0" indent="0" justifyLastLine="0" shrinkToFit="0" readingOrder="0"/>
      <border diagonalUp="0" diagonalDown="0">
        <left style="thin">
          <color indexed="8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  <numFmt numFmtId="164" formatCode="###0"/>
      <alignment horizontal="right" vertical="top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  <numFmt numFmtId="164" formatCode="###0"/>
      <alignment horizontal="right" vertical="top" textRotation="0" wrapText="0" indent="0" justifyLastLine="0" shrinkToFit="0" readingOrder="0"/>
      <border diagonalUp="0" diagonalDown="0">
        <left style="thick">
          <color indexed="8"/>
        </left>
        <right style="thin">
          <color indexed="8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>
        <left/>
        <right style="thick">
          <color indexed="8"/>
        </right>
        <top/>
        <bottom/>
        <vertical/>
        <horizontal/>
      </border>
    </dxf>
    <dxf>
      <border outline="0">
        <right style="thin">
          <color indexed="8"/>
        </right>
      </border>
    </dxf>
    <dxf>
      <numFmt numFmtId="14" formatCode="0.00%"/>
    </dxf>
    <dxf>
      <border outline="0">
        <left style="thin">
          <color theme="4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  <numFmt numFmtId="164" formatCode="###0"/>
      <alignment horizontal="right" vertical="top" textRotation="0" wrapText="0" indent="0" justifyLastLine="0" shrinkToFit="0" readingOrder="0"/>
      <border diagonalUp="0" diagonalDown="0">
        <left style="thick">
          <color indexed="8"/>
        </left>
        <right/>
        <top style="thick">
          <color indexed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>
        <left/>
        <right style="thick">
          <color indexed="8"/>
        </right>
        <top style="thick">
          <color indexed="8"/>
        </top>
        <bottom/>
        <vertical/>
        <horizontal/>
      </border>
    </dxf>
    <dxf>
      <border outline="0">
        <right style="thin">
          <color indexed="8"/>
        </right>
      </border>
    </dxf>
    <dxf>
      <font>
        <sz val="9"/>
        <color indexed="8"/>
        <name val="Arial"/>
        <family val="2"/>
        <scheme val="none"/>
      </font>
      <numFmt numFmtId="164" formatCode="###0"/>
      <alignment horizontal="right" vertical="top" textRotation="0" wrapText="0" indent="0" justifyLastLine="0" shrinkToFit="0" readingOrder="0"/>
      <border diagonalUp="0" diagonalDown="0">
        <left style="thick">
          <color indexed="8"/>
        </left>
        <right style="thin">
          <color indexed="8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alignment horizontal="left" vertical="top" textRotation="0" wrapText="1" indent="0" justifyLastLine="0" shrinkToFit="0" readingOrder="0"/>
      <border diagonalUp="0" diagonalDown="0">
        <left/>
        <right style="thick">
          <color indexed="8"/>
        </right>
        <top/>
        <bottom/>
        <vertical/>
        <horizontal/>
      </border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alignment horizontal="left" vertical="top" textRotation="0" wrapText="1" indent="0" justifyLastLine="0" shrinkToFit="0" readingOrder="0"/>
      <border diagonalUp="0" diagonalDown="0">
        <left/>
        <right style="thick">
          <color indexed="8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##0"/>
      <fill>
        <patternFill patternType="solid">
          <fgColor theme="4" tint="0.79998168889431442"/>
          <bgColor theme="4" tint="0.79998168889431442"/>
        </patternFill>
      </fill>
      <alignment horizontal="right" vertical="top" textRotation="0" wrapText="0" indent="0" justifyLastLine="0" shrinkToFit="0" readingOrder="0"/>
      <border diagonalUp="0" diagonalDown="0">
        <left style="thick">
          <color indexed="8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>
        <left/>
        <right style="thick">
          <color indexed="8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right style="thin">
          <color indexed="8"/>
        </right>
        <top style="thick">
          <color indexed="8"/>
        </top>
        <bottom style="thin">
          <color theme="4" tint="0.39997558519241921"/>
        </bottom>
      </border>
    </dxf>
    <dxf>
      <border outline="0">
        <bottom style="thick">
          <color indexed="8"/>
        </bottom>
      </border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alignment horizontal="left" vertical="top" textRotation="0" wrapText="1" indent="0" justifyLastLine="0" shrinkToFit="0" readingOrder="0"/>
      <border diagonalUp="0" diagonalDown="0">
        <left/>
        <right style="thick">
          <color indexed="8"/>
        </right>
        <top/>
        <bottom/>
        <vertical/>
        <horizontal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Nationalities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and charts'!$I$3</c:f>
              <c:strCache>
                <c:ptCount val="1"/>
                <c:pt idx="0">
                  <c:v>Percentage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and charts'!$H$4:$H$21</c:f>
              <c:strCache>
                <c:ptCount val="18"/>
                <c:pt idx="0">
                  <c:v>BANGLADESH</c:v>
                </c:pt>
                <c:pt idx="1">
                  <c:v>BRITISH</c:v>
                </c:pt>
                <c:pt idx="2">
                  <c:v>CHINESE</c:v>
                </c:pt>
                <c:pt idx="3">
                  <c:v>COLOMBIAN</c:v>
                </c:pt>
                <c:pt idx="4">
                  <c:v>DUTCH</c:v>
                </c:pt>
                <c:pt idx="5">
                  <c:v>FRANCE</c:v>
                </c:pt>
                <c:pt idx="6">
                  <c:v>GERMAN</c:v>
                </c:pt>
                <c:pt idx="7">
                  <c:v>INDIAN</c:v>
                </c:pt>
                <c:pt idx="8">
                  <c:v>IRAQ</c:v>
                </c:pt>
                <c:pt idx="9">
                  <c:v>IRISH</c:v>
                </c:pt>
                <c:pt idx="10">
                  <c:v>JAMAICAN</c:v>
                </c:pt>
                <c:pt idx="11">
                  <c:v>MALAYSIAN</c:v>
                </c:pt>
                <c:pt idx="12">
                  <c:v>NIGERIAN</c:v>
                </c:pt>
                <c:pt idx="13">
                  <c:v>PAKISTAN</c:v>
                </c:pt>
                <c:pt idx="14">
                  <c:v>SOMALI</c:v>
                </c:pt>
                <c:pt idx="15">
                  <c:v>SRILANKAN</c:v>
                </c:pt>
                <c:pt idx="16">
                  <c:v>WELSH</c:v>
                </c:pt>
                <c:pt idx="17">
                  <c:v>YEMEN</c:v>
                </c:pt>
              </c:strCache>
            </c:strRef>
          </c:cat>
          <c:val>
            <c:numRef>
              <c:f>'pivot and charts'!$I$4:$I$21</c:f>
              <c:numCache>
                <c:formatCode>0.00%</c:formatCode>
                <c:ptCount val="18"/>
                <c:pt idx="0">
                  <c:v>7.0000000000000001E-3</c:v>
                </c:pt>
                <c:pt idx="1">
                  <c:v>0.32900000000000001</c:v>
                </c:pt>
                <c:pt idx="2">
                  <c:v>7.0000000000000001E-3</c:v>
                </c:pt>
                <c:pt idx="3">
                  <c:v>7.0000000000000001E-3</c:v>
                </c:pt>
                <c:pt idx="4">
                  <c:v>7.0000000000000001E-3</c:v>
                </c:pt>
                <c:pt idx="5">
                  <c:v>7.0000000000000001E-3</c:v>
                </c:pt>
                <c:pt idx="6">
                  <c:v>7.0000000000000001E-3</c:v>
                </c:pt>
                <c:pt idx="7">
                  <c:v>0.02</c:v>
                </c:pt>
                <c:pt idx="8">
                  <c:v>7.0000000000000001E-3</c:v>
                </c:pt>
                <c:pt idx="9">
                  <c:v>7.0000000000000001E-3</c:v>
                </c:pt>
                <c:pt idx="10">
                  <c:v>7.0000000000000001E-3</c:v>
                </c:pt>
                <c:pt idx="11">
                  <c:v>7.0000000000000001E-3</c:v>
                </c:pt>
                <c:pt idx="12">
                  <c:v>0.27</c:v>
                </c:pt>
                <c:pt idx="13">
                  <c:v>1.2999999999999999E-2</c:v>
                </c:pt>
                <c:pt idx="14">
                  <c:v>1.2999999999999999E-2</c:v>
                </c:pt>
                <c:pt idx="15">
                  <c:v>0.02</c:v>
                </c:pt>
                <c:pt idx="16">
                  <c:v>0.26300000000000001</c:v>
                </c:pt>
                <c:pt idx="17">
                  <c:v>7.0000000000000001E-3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1F-41A6-99AA-5E9F0C1A7F6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1720405280"/>
        <c:axId val="1723273808"/>
        <c:axId val="0"/>
      </c:bar3DChart>
      <c:catAx>
        <c:axId val="1720405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273808"/>
        <c:crosses val="autoZero"/>
        <c:auto val="1"/>
        <c:lblAlgn val="ctr"/>
        <c:lblOffset val="100"/>
        <c:noMultiLvlLbl val="0"/>
      </c:catAx>
      <c:valAx>
        <c:axId val="172327380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720405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endParaRPr lang="en-US"/>
          </a:p>
        </c:rich>
      </c:tx>
      <c:layout>
        <c:manualLayout>
          <c:xMode val="edge"/>
          <c:yMode val="edge"/>
          <c:x val="0.38995122484689415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'pivot and charts'!$I$30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and charts'!$H$31:$H$35</c:f>
              <c:strCache>
                <c:ptCount val="5"/>
                <c:pt idx="0">
                  <c:v>Age 18-21</c:v>
                </c:pt>
                <c:pt idx="1">
                  <c:v>Age 22-29</c:v>
                </c:pt>
                <c:pt idx="2">
                  <c:v>Age 30-39</c:v>
                </c:pt>
                <c:pt idx="3">
                  <c:v>Age 40-49</c:v>
                </c:pt>
                <c:pt idx="4">
                  <c:v>Age 50-59</c:v>
                </c:pt>
              </c:strCache>
            </c:strRef>
          </c:cat>
          <c:val>
            <c:numRef>
              <c:f>'pivot and charts'!$I$31:$I$35</c:f>
              <c:numCache>
                <c:formatCode>###0</c:formatCode>
                <c:ptCount val="5"/>
                <c:pt idx="0">
                  <c:v>73</c:v>
                </c:pt>
                <c:pt idx="1">
                  <c:v>41</c:v>
                </c:pt>
                <c:pt idx="2">
                  <c:v>31</c:v>
                </c:pt>
                <c:pt idx="3">
                  <c:v>6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B7-45F7-8F78-2FC68565B83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181253392"/>
        <c:axId val="183695760"/>
        <c:axId val="0"/>
      </c:bar3DChart>
      <c:catAx>
        <c:axId val="118125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95760"/>
        <c:crosses val="autoZero"/>
        <c:auto val="1"/>
        <c:lblAlgn val="ctr"/>
        <c:lblOffset val="100"/>
        <c:noMultiLvlLbl val="0"/>
      </c:catAx>
      <c:valAx>
        <c:axId val="18369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25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range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and charts'!$U$30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2EBA-419D-83B7-E02EB05C7A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2EBA-419D-83B7-E02EB05C7A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2EBA-419D-83B7-E02EB05C7A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2EBA-419D-83B7-E02EB05C7A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5E18-4B53-BC9E-1077BC9C7A5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and charts'!$T$31:$T$35</c:f>
              <c:strCache>
                <c:ptCount val="5"/>
                <c:pt idx="0">
                  <c:v>Age 18-21</c:v>
                </c:pt>
                <c:pt idx="1">
                  <c:v>Age 22-29</c:v>
                </c:pt>
                <c:pt idx="2">
                  <c:v>Age 30-39</c:v>
                </c:pt>
                <c:pt idx="3">
                  <c:v>Age 40-49</c:v>
                </c:pt>
                <c:pt idx="4">
                  <c:v>Age 50-59</c:v>
                </c:pt>
              </c:strCache>
            </c:strRef>
          </c:cat>
          <c:val>
            <c:numRef>
              <c:f>'pivot and charts'!$U$31:$U$35</c:f>
              <c:numCache>
                <c:formatCode>0%</c:formatCode>
                <c:ptCount val="5"/>
                <c:pt idx="0">
                  <c:v>0.48</c:v>
                </c:pt>
                <c:pt idx="1">
                  <c:v>0.27</c:v>
                </c:pt>
                <c:pt idx="2" formatCode="0.00%">
                  <c:v>0.20399999999999999</c:v>
                </c:pt>
                <c:pt idx="3" formatCode="0.00%">
                  <c:v>3.9E-2</c:v>
                </c:pt>
                <c:pt idx="4" formatCode="0.00%">
                  <c:v>7.0000000000000001E-3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18-4B53-BC9E-1077BC9C7A5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Nationality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6580927384076991E-2"/>
          <c:y val="0.17171296296296296"/>
          <c:w val="0.7773311461067367"/>
          <c:h val="0.53905803441236511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'pivot and charts'!$U$2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and charts'!$T$3:$T$20</c:f>
              <c:strCache>
                <c:ptCount val="18"/>
                <c:pt idx="0">
                  <c:v>BANGLADESH</c:v>
                </c:pt>
                <c:pt idx="1">
                  <c:v>BRITISH</c:v>
                </c:pt>
                <c:pt idx="2">
                  <c:v>CHINESE</c:v>
                </c:pt>
                <c:pt idx="3">
                  <c:v>COLOMBIAN</c:v>
                </c:pt>
                <c:pt idx="4">
                  <c:v>DUTCH</c:v>
                </c:pt>
                <c:pt idx="5">
                  <c:v>FRANCE</c:v>
                </c:pt>
                <c:pt idx="6">
                  <c:v>GERMAN</c:v>
                </c:pt>
                <c:pt idx="7">
                  <c:v>INDIAN</c:v>
                </c:pt>
                <c:pt idx="8">
                  <c:v>IRAQ</c:v>
                </c:pt>
                <c:pt idx="9">
                  <c:v>IRISH</c:v>
                </c:pt>
                <c:pt idx="10">
                  <c:v>JAMAICAN</c:v>
                </c:pt>
                <c:pt idx="11">
                  <c:v>MALAYSIAN</c:v>
                </c:pt>
                <c:pt idx="12">
                  <c:v>NIGERIAN</c:v>
                </c:pt>
                <c:pt idx="13">
                  <c:v>PAKISTAN</c:v>
                </c:pt>
                <c:pt idx="14">
                  <c:v>SOMALI</c:v>
                </c:pt>
                <c:pt idx="15">
                  <c:v>SRILANKAN</c:v>
                </c:pt>
                <c:pt idx="16">
                  <c:v>WELSH</c:v>
                </c:pt>
                <c:pt idx="17">
                  <c:v>YEMEN</c:v>
                </c:pt>
              </c:strCache>
            </c:strRef>
          </c:cat>
          <c:val>
            <c:numRef>
              <c:f>'pivot and charts'!$U$3:$U$20</c:f>
              <c:numCache>
                <c:formatCode>###0</c:formatCode>
                <c:ptCount val="18"/>
                <c:pt idx="0">
                  <c:v>1</c:v>
                </c:pt>
                <c:pt idx="1">
                  <c:v>50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41</c:v>
                </c:pt>
                <c:pt idx="13">
                  <c:v>2</c:v>
                </c:pt>
                <c:pt idx="14">
                  <c:v>2</c:v>
                </c:pt>
                <c:pt idx="15">
                  <c:v>3</c:v>
                </c:pt>
                <c:pt idx="16">
                  <c:v>40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C6-4C5E-A70D-3013C2CB0C4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shape val="box"/>
        <c:axId val="1181245712"/>
        <c:axId val="179176480"/>
        <c:axId val="0"/>
      </c:bar3DChart>
      <c:catAx>
        <c:axId val="1181245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76480"/>
        <c:crosses val="autoZero"/>
        <c:auto val="1"/>
        <c:lblAlgn val="ctr"/>
        <c:lblOffset val="100"/>
        <c:noMultiLvlLbl val="0"/>
      </c:catAx>
      <c:valAx>
        <c:axId val="179176480"/>
        <c:scaling>
          <c:orientation val="minMax"/>
        </c:scaling>
        <c:delete val="1"/>
        <c:axPos val="l"/>
        <c:numFmt formatCode="###0" sourceLinked="1"/>
        <c:majorTickMark val="none"/>
        <c:minorTickMark val="none"/>
        <c:tickLblPos val="nextTo"/>
        <c:crossAx val="1181245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Course of study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0"/>
    </c:view3D>
    <c:floor>
      <c:thickness val="0"/>
      <c:spPr>
        <a:solidFill>
          <a:schemeClr val="accent1">
            <a:alpha val="30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and charts'!$J$53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and charts'!$I$54:$I$55</c:f>
              <c:strCache>
                <c:ptCount val="2"/>
                <c:pt idx="0">
                  <c:v>Health related</c:v>
                </c:pt>
                <c:pt idx="1">
                  <c:v>Not health related</c:v>
                </c:pt>
              </c:strCache>
            </c:strRef>
          </c:cat>
          <c:val>
            <c:numRef>
              <c:f>'pivot and charts'!$J$54:$J$55</c:f>
              <c:numCache>
                <c:formatCode>###0</c:formatCode>
                <c:ptCount val="2"/>
                <c:pt idx="0">
                  <c:v>44</c:v>
                </c:pt>
                <c:pt idx="1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5F-4CD8-9A80-FFBA691B7CB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4"/>
        <c:gapDepth val="0"/>
        <c:shape val="box"/>
        <c:axId val="1183005504"/>
        <c:axId val="179173504"/>
        <c:axId val="0"/>
      </c:bar3DChart>
      <c:catAx>
        <c:axId val="1183005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73504"/>
        <c:crosses val="autoZero"/>
        <c:auto val="1"/>
        <c:lblAlgn val="ctr"/>
        <c:lblOffset val="100"/>
        <c:noMultiLvlLbl val="0"/>
      </c:catAx>
      <c:valAx>
        <c:axId val="179173504"/>
        <c:scaling>
          <c:orientation val="minMax"/>
        </c:scaling>
        <c:delete val="1"/>
        <c:axPos val="l"/>
        <c:numFmt formatCode="###0" sourceLinked="1"/>
        <c:majorTickMark val="none"/>
        <c:minorTickMark val="none"/>
        <c:tickLblPos val="nextTo"/>
        <c:crossAx val="1183005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Course</a:t>
            </a:r>
            <a:r>
              <a:rPr lang="en-US" baseline="0"/>
              <a:t> of study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'pivot and charts'!$T$52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698-4309-BA86-550E1B920B3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698-4309-BA86-550E1B920B3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and charts'!$S$53:$S$54</c:f>
              <c:strCache>
                <c:ptCount val="2"/>
                <c:pt idx="0">
                  <c:v>Health related</c:v>
                </c:pt>
                <c:pt idx="1">
                  <c:v>Not health related</c:v>
                </c:pt>
              </c:strCache>
            </c:strRef>
          </c:cat>
          <c:val>
            <c:numRef>
              <c:f>'pivot and charts'!$T$53:$T$54</c:f>
              <c:numCache>
                <c:formatCode>0.00%</c:formatCode>
                <c:ptCount val="2"/>
                <c:pt idx="0">
                  <c:v>0.29499999999999998</c:v>
                </c:pt>
                <c:pt idx="1">
                  <c:v>0.70499999999999996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0D-453B-83E1-FC3C8095DC1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Q1.</a:t>
            </a:r>
            <a:r>
              <a:rPr lang="en-US" baseline="0"/>
              <a:t> Do you use OTC Analgestis 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inference!$H$9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inference!$G$10:$G$27</c:f>
              <c:strCache>
                <c:ptCount val="18"/>
                <c:pt idx="0">
                  <c:v>BANGLADESH</c:v>
                </c:pt>
                <c:pt idx="1">
                  <c:v>BRITISH</c:v>
                </c:pt>
                <c:pt idx="2">
                  <c:v>CHINESE</c:v>
                </c:pt>
                <c:pt idx="3">
                  <c:v>COLOMBIAN</c:v>
                </c:pt>
                <c:pt idx="4">
                  <c:v>DUTCH</c:v>
                </c:pt>
                <c:pt idx="5">
                  <c:v>FRANCE</c:v>
                </c:pt>
                <c:pt idx="6">
                  <c:v>GERMAN</c:v>
                </c:pt>
                <c:pt idx="7">
                  <c:v>INDIAN</c:v>
                </c:pt>
                <c:pt idx="8">
                  <c:v>IRAQ</c:v>
                </c:pt>
                <c:pt idx="9">
                  <c:v>IRISH</c:v>
                </c:pt>
                <c:pt idx="10">
                  <c:v>JAMAICAN</c:v>
                </c:pt>
                <c:pt idx="11">
                  <c:v>MALAYSIAN</c:v>
                </c:pt>
                <c:pt idx="12">
                  <c:v>NIGERIAN</c:v>
                </c:pt>
                <c:pt idx="13">
                  <c:v>PAKISTAN</c:v>
                </c:pt>
                <c:pt idx="14">
                  <c:v>SOMALI</c:v>
                </c:pt>
                <c:pt idx="15">
                  <c:v>SRILANKAN</c:v>
                </c:pt>
                <c:pt idx="16">
                  <c:v>WELSH</c:v>
                </c:pt>
                <c:pt idx="17">
                  <c:v>YEMEN</c:v>
                </c:pt>
              </c:strCache>
            </c:strRef>
          </c:cat>
          <c:val>
            <c:numRef>
              <c:f>inference!$H$10:$H$27</c:f>
              <c:numCache>
                <c:formatCode>###0</c:formatCode>
                <c:ptCount val="18"/>
                <c:pt idx="0">
                  <c:v>1</c:v>
                </c:pt>
                <c:pt idx="1">
                  <c:v>33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31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30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48-45C4-8665-264629C82355}"/>
            </c:ext>
          </c:extLst>
        </c:ser>
        <c:ser>
          <c:idx val="1"/>
          <c:order val="1"/>
          <c:tx>
            <c:strRef>
              <c:f>inference!$I$9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inference!$G$10:$G$27</c:f>
              <c:strCache>
                <c:ptCount val="18"/>
                <c:pt idx="0">
                  <c:v>BANGLADESH</c:v>
                </c:pt>
                <c:pt idx="1">
                  <c:v>BRITISH</c:v>
                </c:pt>
                <c:pt idx="2">
                  <c:v>CHINESE</c:v>
                </c:pt>
                <c:pt idx="3">
                  <c:v>COLOMBIAN</c:v>
                </c:pt>
                <c:pt idx="4">
                  <c:v>DUTCH</c:v>
                </c:pt>
                <c:pt idx="5">
                  <c:v>FRANCE</c:v>
                </c:pt>
                <c:pt idx="6">
                  <c:v>GERMAN</c:v>
                </c:pt>
                <c:pt idx="7">
                  <c:v>INDIAN</c:v>
                </c:pt>
                <c:pt idx="8">
                  <c:v>IRAQ</c:v>
                </c:pt>
                <c:pt idx="9">
                  <c:v>IRISH</c:v>
                </c:pt>
                <c:pt idx="10">
                  <c:v>JAMAICAN</c:v>
                </c:pt>
                <c:pt idx="11">
                  <c:v>MALAYSIAN</c:v>
                </c:pt>
                <c:pt idx="12">
                  <c:v>NIGERIAN</c:v>
                </c:pt>
                <c:pt idx="13">
                  <c:v>PAKISTAN</c:v>
                </c:pt>
                <c:pt idx="14">
                  <c:v>SOMALI</c:v>
                </c:pt>
                <c:pt idx="15">
                  <c:v>SRILANKAN</c:v>
                </c:pt>
                <c:pt idx="16">
                  <c:v>WELSH</c:v>
                </c:pt>
                <c:pt idx="17">
                  <c:v>YEMEN</c:v>
                </c:pt>
              </c:strCache>
            </c:strRef>
          </c:cat>
          <c:val>
            <c:numRef>
              <c:f>inference!$I$10:$I$27</c:f>
              <c:numCache>
                <c:formatCode>###0</c:formatCode>
                <c:ptCount val="18"/>
                <c:pt idx="0">
                  <c:v>0</c:v>
                </c:pt>
                <c:pt idx="1">
                  <c:v>13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11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9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48-45C4-8665-264629C82355}"/>
            </c:ext>
          </c:extLst>
        </c:ser>
        <c:ser>
          <c:idx val="2"/>
          <c:order val="2"/>
          <c:tx>
            <c:strRef>
              <c:f>inference!$J$9</c:f>
              <c:strCache>
                <c:ptCount val="1"/>
                <c:pt idx="0">
                  <c:v>Rather not say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inference!$G$10:$G$27</c:f>
              <c:strCache>
                <c:ptCount val="18"/>
                <c:pt idx="0">
                  <c:v>BANGLADESH</c:v>
                </c:pt>
                <c:pt idx="1">
                  <c:v>BRITISH</c:v>
                </c:pt>
                <c:pt idx="2">
                  <c:v>CHINESE</c:v>
                </c:pt>
                <c:pt idx="3">
                  <c:v>COLOMBIAN</c:v>
                </c:pt>
                <c:pt idx="4">
                  <c:v>DUTCH</c:v>
                </c:pt>
                <c:pt idx="5">
                  <c:v>FRANCE</c:v>
                </c:pt>
                <c:pt idx="6">
                  <c:v>GERMAN</c:v>
                </c:pt>
                <c:pt idx="7">
                  <c:v>INDIAN</c:v>
                </c:pt>
                <c:pt idx="8">
                  <c:v>IRAQ</c:v>
                </c:pt>
                <c:pt idx="9">
                  <c:v>IRISH</c:v>
                </c:pt>
                <c:pt idx="10">
                  <c:v>JAMAICAN</c:v>
                </c:pt>
                <c:pt idx="11">
                  <c:v>MALAYSIAN</c:v>
                </c:pt>
                <c:pt idx="12">
                  <c:v>NIGERIAN</c:v>
                </c:pt>
                <c:pt idx="13">
                  <c:v>PAKISTAN</c:v>
                </c:pt>
                <c:pt idx="14">
                  <c:v>SOMALI</c:v>
                </c:pt>
                <c:pt idx="15">
                  <c:v>SRILANKAN</c:v>
                </c:pt>
                <c:pt idx="16">
                  <c:v>WELSH</c:v>
                </c:pt>
                <c:pt idx="17">
                  <c:v>YEMEN</c:v>
                </c:pt>
              </c:strCache>
            </c:strRef>
          </c:cat>
          <c:val>
            <c:numRef>
              <c:f>inference!$J$10:$J$27</c:f>
              <c:numCache>
                <c:formatCode>###0</c:formatCode>
                <c:ptCount val="18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48-45C4-8665-264629C8235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83703168"/>
        <c:axId val="533002128"/>
      </c:barChart>
      <c:catAx>
        <c:axId val="118370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002128"/>
        <c:crosses val="autoZero"/>
        <c:auto val="1"/>
        <c:lblAlgn val="ctr"/>
        <c:lblOffset val="100"/>
        <c:noMultiLvlLbl val="0"/>
      </c:catAx>
      <c:valAx>
        <c:axId val="53300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70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5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  <a:sp3d/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>
      <cs:styleClr val="0"/>
    </cs:fillRef>
    <cs:effectRef idx="0"/>
    <cs:fontRef idx="minor">
      <a:schemeClr val="dk1"/>
    </cs:fontRef>
    <cs:spPr>
      <a:solidFill>
        <a:schemeClr val="phClr">
          <a:alpha val="30000"/>
        </a:schemeClr>
      </a:solidFill>
      <a:sp3d/>
    </cs:spPr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lumMod val="60000"/>
            <a:lumOff val="40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lumMod val="50000"/>
            <a:lumOff val="5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142875</xdr:colOff>
      <xdr:row>1</xdr:row>
      <xdr:rowOff>285750</xdr:rowOff>
    </xdr:from>
    <xdr:to>
      <xdr:col>16</xdr:col>
      <xdr:colOff>447675</xdr:colOff>
      <xdr:row>17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52AE6E-AEF8-30EE-DE91-B82E31CC42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180974</xdr:colOff>
      <xdr:row>28</xdr:row>
      <xdr:rowOff>177800</xdr:rowOff>
    </xdr:from>
    <xdr:to>
      <xdr:col>17</xdr:col>
      <xdr:colOff>44450</xdr:colOff>
      <xdr:row>42</xdr:row>
      <xdr:rowOff>158750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00A931-45D3-75D6-81CE-06B0B5DBF8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219075</xdr:colOff>
      <xdr:row>27</xdr:row>
      <xdr:rowOff>165100</xdr:rowOff>
    </xdr:from>
    <xdr:to>
      <xdr:col>28</xdr:col>
      <xdr:colOff>523875</xdr:colOff>
      <xdr:row>41</xdr:row>
      <xdr:rowOff>146050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2B582D7-289B-05EB-C0A3-88C64DC21A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142875</xdr:colOff>
      <xdr:row>2</xdr:row>
      <xdr:rowOff>142875</xdr:rowOff>
    </xdr:from>
    <xdr:to>
      <xdr:col>28</xdr:col>
      <xdr:colOff>447675</xdr:colOff>
      <xdr:row>14</xdr:row>
      <xdr:rowOff>104775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388BB1F-CA47-E039-E221-A0E2AFDAC7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314325</xdr:colOff>
      <xdr:row>50</xdr:row>
      <xdr:rowOff>295275</xdr:rowOff>
    </xdr:from>
    <xdr:to>
      <xdr:col>17</xdr:col>
      <xdr:colOff>434975</xdr:colOff>
      <xdr:row>65</xdr:row>
      <xdr:rowOff>47625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71DAE4D-621F-0F8D-72A5-2AD04A511A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809625</xdr:colOff>
      <xdr:row>49</xdr:row>
      <xdr:rowOff>212725</xdr:rowOff>
    </xdr:from>
    <xdr:to>
      <xdr:col>28</xdr:col>
      <xdr:colOff>212725</xdr:colOff>
      <xdr:row>63</xdr:row>
      <xdr:rowOff>15875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16B7BF0-EEB5-D8D7-A00A-6A79EFBCE0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73025</xdr:colOff>
      <xdr:row>8</xdr:row>
      <xdr:rowOff>60325</xdr:rowOff>
    </xdr:from>
    <xdr:to>
      <xdr:col>17</xdr:col>
      <xdr:colOff>377825</xdr:colOff>
      <xdr:row>20</xdr:row>
      <xdr:rowOff>244475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672FDC-9DFC-A3CA-5BA2-BE372C48A9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3C361D-32C5-4D7B-AF9D-7674B3ABCFAC}" name="Table1" displayName="Table1" ref="H3:I21" totalsRowShown="0">
  <autoFilter ref="H3:I21" xr:uid="{FD3C361D-32C5-4D7B-AF9D-7674B3ABCFAC}"/>
  <tableColumns count="2">
    <tableColumn id="1" xr3:uid="{4C1FDCC2-5C33-452E-9F99-D95C432A737B}" name="Nationality" dataDxfId="19"/>
    <tableColumn id="2" xr3:uid="{D1106FDF-73F0-4012-8891-08D851B126CE}" name="Percentage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88D13A5-163E-442F-B74E-F243DC295300}" name="Table36" displayName="Table36" ref="H30:I35" totalsRowShown="0" headerRowBorderDxfId="17" tableBorderDxfId="16">
  <autoFilter ref="H30:I35" xr:uid="{088D13A5-163E-442F-B74E-F243DC295300}"/>
  <tableColumns count="2">
    <tableColumn id="1" xr3:uid="{81965CC9-47B7-40ED-85FE-12EC0FEC8969}" name="Age" dataDxfId="15"/>
    <tableColumn id="2" xr3:uid="{6994A9CF-B2D8-4BAD-BAF4-9B3C3EB09A5D}" name="Frequency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495F4CF-FF0B-4D66-82FA-FB1C91E1F85A}" name="Table6" displayName="Table6" ref="T30:U35" totalsRowShown="0">
  <autoFilter ref="T30:U35" xr:uid="{C495F4CF-FF0B-4D66-82FA-FB1C91E1F85A}"/>
  <tableColumns count="2">
    <tableColumn id="1" xr3:uid="{BAA251B3-F254-4213-A258-8983E4FCE8F8}" name="Age" dataDxfId="13"/>
    <tableColumn id="2" xr3:uid="{8892FBFF-6C38-49AB-A40F-8F67E8E26C66}" name="Percentage" dataDxfId="1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A136B32-37E4-45D5-AFCC-14149FC58144}" name="Table148" displayName="Table148" ref="T2:U20" totalsRowShown="0">
  <autoFilter ref="T2:U20" xr:uid="{2A136B32-37E4-45D5-AFCC-14149FC58144}"/>
  <tableColumns count="2">
    <tableColumn id="1" xr3:uid="{DE29B8D4-05B9-495F-AA13-3D58FAEE8D97}" name="Nationality" dataDxfId="11"/>
    <tableColumn id="2" xr3:uid="{02BEDAC5-A134-4C09-9CA7-CA39CF1FFD07}" name="Frequency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B99BB36-8D7F-4B10-840B-870FE383928D}" name="Table8" displayName="Table8" ref="I53:J55" totalsRowShown="0" tableBorderDxfId="9">
  <autoFilter ref="I53:J55" xr:uid="{AB99BB36-8D7F-4B10-840B-870FE383928D}"/>
  <tableColumns count="2">
    <tableColumn id="1" xr3:uid="{03444FC5-2665-45FE-A931-4738D7EFD17F}" name="Course of Study" dataDxfId="8"/>
    <tableColumn id="2" xr3:uid="{D221AA08-C0D4-482C-8B74-8A5E353035B1}" name="Frequency" dataDxfId="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71D7D50-4F68-48E6-AEC5-B059391A1869}" name="Table9" displayName="Table9" ref="S52:T54" totalsRowShown="0" tableBorderDxfId="6">
  <autoFilter ref="S52:T54" xr:uid="{C71D7D50-4F68-48E6-AEC5-B059391A1869}"/>
  <tableColumns count="2">
    <tableColumn id="1" xr3:uid="{41E68A81-2FA1-40A9-8F0F-AE48E46C2E8D}" name="Course of Study"/>
    <tableColumn id="2" xr3:uid="{4A20ACAD-8A04-43E8-BD37-36E2F4E43A9B}" name="Percentage" dataDxfId="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A47BF2A-2FF0-48E1-B7C8-A7443CC1AA63}" name="Table10" displayName="Table10" ref="G9:J27" totalsRowShown="0" tableBorderDxfId="4">
  <autoFilter ref="G9:J27" xr:uid="{EA47BF2A-2FF0-48E1-B7C8-A7443CC1AA63}"/>
  <tableColumns count="4">
    <tableColumn id="1" xr3:uid="{A77445D9-4E75-4A9A-9460-3B4A3756EEA0}" name="Nationality" dataDxfId="3" dataCellStyle="Normal_Sheet4"/>
    <tableColumn id="2" xr3:uid="{5FECBB56-1A37-49F7-994E-CF63481E12E2}" name="yes" dataDxfId="2" dataCellStyle="Normal_Sheet4"/>
    <tableColumn id="3" xr3:uid="{D1BAB25F-2CFA-4E0D-A7E5-C3605C23E2EF}" name="No" dataDxfId="1" dataCellStyle="Normal_Sheet4"/>
    <tableColumn id="4" xr3:uid="{E498D637-6AE1-4752-BD9F-01AB782BA686}" name="Rather not say" dataDxfId="0" dataCellStyle="Normal_Sheet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3"/>
  <sheetViews>
    <sheetView topLeftCell="A145" workbookViewId="0">
      <selection activeCell="G2" sqref="G2:Q153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35">
      <c r="A2">
        <f t="shared" ref="A2:A34" si="0">ROW() - 1</f>
        <v>1</v>
      </c>
      <c r="B2">
        <v>3</v>
      </c>
      <c r="C2" t="s">
        <v>18</v>
      </c>
      <c r="D2">
        <v>1</v>
      </c>
      <c r="F2">
        <v>1</v>
      </c>
      <c r="G2">
        <v>1</v>
      </c>
      <c r="H2">
        <v>0</v>
      </c>
      <c r="I2" t="s">
        <v>80</v>
      </c>
      <c r="J2">
        <v>2</v>
      </c>
      <c r="K2">
        <v>1</v>
      </c>
      <c r="L2">
        <v>1</v>
      </c>
      <c r="M2">
        <v>1</v>
      </c>
      <c r="N2">
        <v>2</v>
      </c>
      <c r="O2">
        <v>1</v>
      </c>
      <c r="P2">
        <v>3</v>
      </c>
      <c r="Q2">
        <v>1</v>
      </c>
      <c r="R2" t="s">
        <v>20</v>
      </c>
      <c r="S2">
        <v>2</v>
      </c>
    </row>
    <row r="3" spans="1:19" x14ac:dyDescent="0.35">
      <c r="A3">
        <f t="shared" si="0"/>
        <v>2</v>
      </c>
      <c r="B3">
        <v>3</v>
      </c>
      <c r="C3" t="s">
        <v>18</v>
      </c>
      <c r="D3">
        <v>1</v>
      </c>
      <c r="F3">
        <v>1</v>
      </c>
      <c r="G3">
        <v>1</v>
      </c>
      <c r="H3">
        <v>1</v>
      </c>
      <c r="I3" t="s">
        <v>80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</v>
      </c>
      <c r="Q3">
        <v>0</v>
      </c>
      <c r="R3">
        <v>1</v>
      </c>
      <c r="S3">
        <v>1</v>
      </c>
    </row>
    <row r="4" spans="1:19" x14ac:dyDescent="0.35">
      <c r="A4">
        <f t="shared" si="0"/>
        <v>3</v>
      </c>
      <c r="B4">
        <v>2</v>
      </c>
      <c r="C4" t="s">
        <v>18</v>
      </c>
      <c r="D4">
        <v>2</v>
      </c>
      <c r="F4">
        <v>1</v>
      </c>
      <c r="G4">
        <v>1</v>
      </c>
      <c r="H4">
        <v>1</v>
      </c>
      <c r="I4">
        <f>2</f>
        <v>2</v>
      </c>
      <c r="J4">
        <v>2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2</v>
      </c>
      <c r="R4">
        <v>1</v>
      </c>
      <c r="S4">
        <v>2</v>
      </c>
    </row>
    <row r="5" spans="1:19" x14ac:dyDescent="0.35">
      <c r="A5">
        <f t="shared" si="0"/>
        <v>4</v>
      </c>
      <c r="B5">
        <v>3</v>
      </c>
      <c r="C5" t="s">
        <v>18</v>
      </c>
      <c r="D5">
        <v>1</v>
      </c>
      <c r="F5">
        <v>1</v>
      </c>
      <c r="G5">
        <v>1</v>
      </c>
      <c r="H5">
        <v>1</v>
      </c>
      <c r="I5" t="s">
        <v>81</v>
      </c>
      <c r="J5">
        <v>2</v>
      </c>
      <c r="K5">
        <v>1</v>
      </c>
      <c r="L5">
        <v>1</v>
      </c>
      <c r="M5">
        <v>1</v>
      </c>
      <c r="N5">
        <v>2</v>
      </c>
      <c r="O5">
        <v>1</v>
      </c>
      <c r="P5">
        <v>1</v>
      </c>
      <c r="Q5">
        <v>1</v>
      </c>
      <c r="R5">
        <v>1</v>
      </c>
      <c r="S5" t="s">
        <v>21</v>
      </c>
    </row>
    <row r="6" spans="1:19" x14ac:dyDescent="0.35">
      <c r="A6">
        <f t="shared" si="0"/>
        <v>5</v>
      </c>
      <c r="B6">
        <v>2</v>
      </c>
      <c r="C6" t="s">
        <v>18</v>
      </c>
      <c r="D6">
        <v>1</v>
      </c>
      <c r="F6">
        <v>1</v>
      </c>
      <c r="G6">
        <v>1</v>
      </c>
      <c r="H6">
        <v>1</v>
      </c>
      <c r="I6">
        <v>2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3</v>
      </c>
      <c r="Q6">
        <v>3</v>
      </c>
      <c r="R6" t="s">
        <v>22</v>
      </c>
      <c r="S6">
        <v>2</v>
      </c>
    </row>
    <row r="7" spans="1:19" x14ac:dyDescent="0.35">
      <c r="A7">
        <f t="shared" si="0"/>
        <v>6</v>
      </c>
      <c r="B7">
        <v>2</v>
      </c>
      <c r="C7" t="s">
        <v>18</v>
      </c>
      <c r="D7">
        <v>1</v>
      </c>
      <c r="F7">
        <v>1</v>
      </c>
      <c r="G7">
        <v>1</v>
      </c>
      <c r="H7">
        <v>1</v>
      </c>
      <c r="I7" t="s">
        <v>80</v>
      </c>
      <c r="J7">
        <v>2</v>
      </c>
      <c r="K7">
        <v>1</v>
      </c>
      <c r="L7">
        <v>1</v>
      </c>
      <c r="M7">
        <v>2</v>
      </c>
      <c r="N7">
        <v>1</v>
      </c>
      <c r="O7">
        <v>1</v>
      </c>
      <c r="P7">
        <v>1</v>
      </c>
      <c r="Q7">
        <v>5</v>
      </c>
      <c r="R7" t="s">
        <v>23</v>
      </c>
      <c r="S7">
        <v>2</v>
      </c>
    </row>
    <row r="8" spans="1:19" x14ac:dyDescent="0.35">
      <c r="A8">
        <f t="shared" si="0"/>
        <v>7</v>
      </c>
      <c r="B8">
        <v>3</v>
      </c>
      <c r="C8" t="s">
        <v>18</v>
      </c>
      <c r="D8">
        <v>1</v>
      </c>
      <c r="F8">
        <v>1</v>
      </c>
      <c r="G8">
        <v>1</v>
      </c>
      <c r="H8">
        <v>1</v>
      </c>
      <c r="I8">
        <v>2</v>
      </c>
      <c r="J8">
        <v>2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2</v>
      </c>
      <c r="S8" t="s">
        <v>24</v>
      </c>
    </row>
    <row r="9" spans="1:19" x14ac:dyDescent="0.35">
      <c r="A9">
        <f t="shared" si="0"/>
        <v>8</v>
      </c>
      <c r="B9">
        <v>4</v>
      </c>
      <c r="C9" t="s">
        <v>18</v>
      </c>
      <c r="D9">
        <v>1</v>
      </c>
      <c r="F9">
        <v>1</v>
      </c>
      <c r="G9">
        <v>1</v>
      </c>
      <c r="H9">
        <v>1</v>
      </c>
      <c r="I9" t="s">
        <v>81</v>
      </c>
      <c r="J9">
        <v>2</v>
      </c>
      <c r="K9">
        <v>1</v>
      </c>
      <c r="L9">
        <v>1</v>
      </c>
      <c r="M9">
        <v>1</v>
      </c>
      <c r="N9">
        <v>1</v>
      </c>
      <c r="O9">
        <v>1</v>
      </c>
      <c r="P9">
        <v>3</v>
      </c>
      <c r="Q9">
        <v>3</v>
      </c>
      <c r="R9" t="s">
        <v>23</v>
      </c>
      <c r="S9" t="s">
        <v>25</v>
      </c>
    </row>
    <row r="10" spans="1:19" x14ac:dyDescent="0.35">
      <c r="A10">
        <f t="shared" si="0"/>
        <v>9</v>
      </c>
      <c r="B10">
        <v>5</v>
      </c>
      <c r="C10" t="s">
        <v>18</v>
      </c>
      <c r="D10">
        <v>1</v>
      </c>
      <c r="F10">
        <v>1</v>
      </c>
      <c r="G10">
        <v>1</v>
      </c>
      <c r="H10">
        <v>1</v>
      </c>
      <c r="I10" t="s">
        <v>80</v>
      </c>
      <c r="J10">
        <v>2</v>
      </c>
      <c r="K10">
        <v>1</v>
      </c>
      <c r="L10">
        <v>1</v>
      </c>
      <c r="M10">
        <v>2</v>
      </c>
      <c r="N10">
        <v>1</v>
      </c>
      <c r="O10">
        <v>1</v>
      </c>
      <c r="P10">
        <v>1</v>
      </c>
      <c r="Q10">
        <v>2</v>
      </c>
      <c r="R10" t="s">
        <v>26</v>
      </c>
      <c r="S10">
        <v>2</v>
      </c>
    </row>
    <row r="11" spans="1:19" x14ac:dyDescent="0.35">
      <c r="A11">
        <f t="shared" si="0"/>
        <v>10</v>
      </c>
      <c r="B11">
        <v>4</v>
      </c>
      <c r="C11" t="s">
        <v>18</v>
      </c>
      <c r="D11">
        <v>1</v>
      </c>
      <c r="F11">
        <v>1</v>
      </c>
      <c r="G11">
        <v>1</v>
      </c>
      <c r="H11">
        <v>1</v>
      </c>
      <c r="I11">
        <v>2</v>
      </c>
      <c r="J11">
        <v>2</v>
      </c>
      <c r="K11">
        <v>1</v>
      </c>
      <c r="L11">
        <v>1</v>
      </c>
      <c r="M11">
        <v>1</v>
      </c>
      <c r="N11">
        <v>1</v>
      </c>
      <c r="O11">
        <v>1</v>
      </c>
      <c r="P11">
        <v>3</v>
      </c>
      <c r="Q11">
        <v>1</v>
      </c>
      <c r="R11" t="s">
        <v>23</v>
      </c>
      <c r="S11" t="s">
        <v>27</v>
      </c>
    </row>
    <row r="12" spans="1:19" x14ac:dyDescent="0.35">
      <c r="A12">
        <f t="shared" si="0"/>
        <v>11</v>
      </c>
      <c r="B12">
        <v>3</v>
      </c>
      <c r="C12" t="s">
        <v>18</v>
      </c>
      <c r="D12">
        <v>1</v>
      </c>
      <c r="F12">
        <v>1</v>
      </c>
      <c r="G12">
        <v>2</v>
      </c>
      <c r="H12">
        <v>2</v>
      </c>
      <c r="I12" t="s">
        <v>80</v>
      </c>
      <c r="J12">
        <v>2</v>
      </c>
      <c r="K12">
        <v>1</v>
      </c>
      <c r="L12">
        <v>1</v>
      </c>
      <c r="M12">
        <v>1</v>
      </c>
      <c r="N12">
        <v>1</v>
      </c>
      <c r="O12">
        <v>1</v>
      </c>
      <c r="P12">
        <v>3</v>
      </c>
      <c r="Q12">
        <v>2</v>
      </c>
      <c r="R12" t="s">
        <v>23</v>
      </c>
      <c r="S12">
        <v>2</v>
      </c>
    </row>
    <row r="13" spans="1:19" x14ac:dyDescent="0.35">
      <c r="A13">
        <f t="shared" si="0"/>
        <v>12</v>
      </c>
      <c r="B13">
        <v>2</v>
      </c>
      <c r="C13" t="s">
        <v>18</v>
      </c>
      <c r="D13">
        <v>1</v>
      </c>
      <c r="F13">
        <v>1</v>
      </c>
      <c r="G13">
        <v>2</v>
      </c>
      <c r="H13">
        <v>0</v>
      </c>
      <c r="I13" t="s">
        <v>80</v>
      </c>
      <c r="J13">
        <v>2</v>
      </c>
      <c r="K13">
        <v>3</v>
      </c>
      <c r="L13">
        <v>1</v>
      </c>
      <c r="M13">
        <v>2</v>
      </c>
      <c r="N13">
        <v>2</v>
      </c>
      <c r="O13">
        <v>1</v>
      </c>
      <c r="P13">
        <v>1</v>
      </c>
      <c r="Q13">
        <v>5</v>
      </c>
      <c r="R13" t="s">
        <v>28</v>
      </c>
      <c r="S13">
        <v>2</v>
      </c>
    </row>
    <row r="14" spans="1:19" x14ac:dyDescent="0.35">
      <c r="A14">
        <f t="shared" si="0"/>
        <v>13</v>
      </c>
      <c r="B14">
        <v>3</v>
      </c>
      <c r="C14" t="s">
        <v>18</v>
      </c>
      <c r="D14">
        <v>1</v>
      </c>
      <c r="F14">
        <v>1</v>
      </c>
      <c r="G14">
        <v>1</v>
      </c>
      <c r="H14">
        <v>1</v>
      </c>
      <c r="I14">
        <v>2</v>
      </c>
      <c r="J14">
        <v>2</v>
      </c>
      <c r="K14">
        <v>1</v>
      </c>
      <c r="L14">
        <v>1</v>
      </c>
      <c r="M14">
        <v>2</v>
      </c>
      <c r="N14">
        <v>1</v>
      </c>
      <c r="O14">
        <v>1</v>
      </c>
      <c r="P14">
        <v>3</v>
      </c>
      <c r="Q14">
        <v>1</v>
      </c>
      <c r="R14">
        <v>1</v>
      </c>
      <c r="S14">
        <v>2</v>
      </c>
    </row>
    <row r="15" spans="1:19" x14ac:dyDescent="0.35">
      <c r="A15">
        <f t="shared" si="0"/>
        <v>14</v>
      </c>
      <c r="B15">
        <v>3</v>
      </c>
      <c r="C15" t="s">
        <v>18</v>
      </c>
      <c r="D15">
        <v>1</v>
      </c>
      <c r="F15">
        <v>1</v>
      </c>
      <c r="G15">
        <v>1</v>
      </c>
      <c r="H15">
        <v>1</v>
      </c>
      <c r="I15" t="s">
        <v>81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2</v>
      </c>
      <c r="R15" t="s">
        <v>22</v>
      </c>
      <c r="S15">
        <v>4</v>
      </c>
    </row>
    <row r="16" spans="1:19" x14ac:dyDescent="0.35">
      <c r="A16">
        <f t="shared" si="0"/>
        <v>15</v>
      </c>
      <c r="B16">
        <v>2</v>
      </c>
      <c r="C16" t="s">
        <v>18</v>
      </c>
      <c r="D16">
        <v>1</v>
      </c>
      <c r="F16">
        <v>1</v>
      </c>
      <c r="G16">
        <v>2</v>
      </c>
      <c r="H16">
        <v>2</v>
      </c>
      <c r="I16" t="s">
        <v>81</v>
      </c>
      <c r="J16">
        <v>2</v>
      </c>
      <c r="K16">
        <v>1</v>
      </c>
      <c r="L16">
        <v>2</v>
      </c>
      <c r="M16">
        <v>2</v>
      </c>
      <c r="N16">
        <v>1</v>
      </c>
      <c r="O16">
        <v>1</v>
      </c>
      <c r="P16">
        <v>3</v>
      </c>
      <c r="Q16">
        <v>2</v>
      </c>
      <c r="R16">
        <v>1</v>
      </c>
      <c r="S16">
        <v>2</v>
      </c>
    </row>
    <row r="17" spans="1:19" x14ac:dyDescent="0.35">
      <c r="A17">
        <f t="shared" si="0"/>
        <v>16</v>
      </c>
      <c r="B17">
        <v>3</v>
      </c>
      <c r="C17" t="s">
        <v>18</v>
      </c>
      <c r="D17">
        <v>1</v>
      </c>
      <c r="F17">
        <v>1</v>
      </c>
      <c r="G17">
        <v>1</v>
      </c>
      <c r="H17">
        <v>1</v>
      </c>
      <c r="I17" t="s">
        <v>81</v>
      </c>
      <c r="J17">
        <v>2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0</v>
      </c>
      <c r="R17" t="s">
        <v>24</v>
      </c>
      <c r="S17">
        <v>2</v>
      </c>
    </row>
    <row r="18" spans="1:19" x14ac:dyDescent="0.35">
      <c r="A18">
        <f t="shared" si="0"/>
        <v>17</v>
      </c>
      <c r="B18">
        <v>2</v>
      </c>
      <c r="C18" t="s">
        <v>18</v>
      </c>
      <c r="D18">
        <v>1</v>
      </c>
      <c r="F18">
        <v>1</v>
      </c>
      <c r="G18">
        <v>2</v>
      </c>
      <c r="H18">
        <v>0</v>
      </c>
      <c r="I18" t="s">
        <v>81</v>
      </c>
      <c r="J18">
        <v>2</v>
      </c>
      <c r="K18">
        <v>1</v>
      </c>
      <c r="L18">
        <v>1</v>
      </c>
      <c r="M18">
        <v>1</v>
      </c>
      <c r="N18">
        <v>1</v>
      </c>
      <c r="O18">
        <v>1</v>
      </c>
      <c r="P18">
        <v>0</v>
      </c>
      <c r="Q18">
        <v>0</v>
      </c>
      <c r="R18" t="s">
        <v>29</v>
      </c>
      <c r="S18">
        <v>2</v>
      </c>
    </row>
    <row r="19" spans="1:19" x14ac:dyDescent="0.35">
      <c r="A19">
        <f t="shared" si="0"/>
        <v>18</v>
      </c>
      <c r="B19">
        <v>3</v>
      </c>
      <c r="C19" t="s">
        <v>18</v>
      </c>
      <c r="D19">
        <v>1</v>
      </c>
      <c r="F19">
        <v>1</v>
      </c>
      <c r="G19">
        <v>1</v>
      </c>
      <c r="H19">
        <v>1</v>
      </c>
      <c r="I19">
        <v>2</v>
      </c>
      <c r="J19">
        <v>2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2</v>
      </c>
      <c r="R19" t="s">
        <v>24</v>
      </c>
      <c r="S19">
        <v>2</v>
      </c>
    </row>
    <row r="20" spans="1:19" x14ac:dyDescent="0.35">
      <c r="A20">
        <f t="shared" si="0"/>
        <v>19</v>
      </c>
      <c r="B20">
        <v>3</v>
      </c>
      <c r="C20" t="s">
        <v>18</v>
      </c>
      <c r="D20">
        <v>1</v>
      </c>
      <c r="F20">
        <v>1</v>
      </c>
      <c r="G20">
        <v>2</v>
      </c>
      <c r="H20">
        <v>2</v>
      </c>
      <c r="I20" t="s">
        <v>80</v>
      </c>
      <c r="J20">
        <v>2</v>
      </c>
      <c r="K20">
        <v>0</v>
      </c>
      <c r="L20">
        <v>1</v>
      </c>
      <c r="M20">
        <v>2</v>
      </c>
      <c r="N20">
        <v>1</v>
      </c>
      <c r="O20">
        <v>1</v>
      </c>
      <c r="P20">
        <v>3</v>
      </c>
      <c r="Q20">
        <v>1</v>
      </c>
      <c r="R20">
        <v>1</v>
      </c>
      <c r="S20">
        <v>2</v>
      </c>
    </row>
    <row r="21" spans="1:19" x14ac:dyDescent="0.35">
      <c r="A21">
        <f t="shared" si="0"/>
        <v>20</v>
      </c>
      <c r="B21">
        <v>3</v>
      </c>
      <c r="C21" t="s">
        <v>18</v>
      </c>
      <c r="D21">
        <v>1</v>
      </c>
      <c r="F21">
        <v>1</v>
      </c>
      <c r="G21">
        <v>2</v>
      </c>
      <c r="H21">
        <v>2</v>
      </c>
      <c r="I21">
        <v>3</v>
      </c>
      <c r="J21">
        <v>2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 t="s">
        <v>28</v>
      </c>
      <c r="S21">
        <v>2</v>
      </c>
    </row>
    <row r="22" spans="1:19" x14ac:dyDescent="0.35">
      <c r="A22">
        <f t="shared" si="0"/>
        <v>21</v>
      </c>
      <c r="B22">
        <v>2</v>
      </c>
      <c r="C22" t="s">
        <v>18</v>
      </c>
      <c r="D22">
        <v>1</v>
      </c>
      <c r="F22">
        <v>1</v>
      </c>
      <c r="G22">
        <v>1</v>
      </c>
      <c r="H22">
        <v>1</v>
      </c>
      <c r="I22" t="s">
        <v>81</v>
      </c>
      <c r="J22">
        <v>2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 t="s">
        <v>30</v>
      </c>
      <c r="S22">
        <v>2</v>
      </c>
    </row>
    <row r="23" spans="1:19" x14ac:dyDescent="0.35">
      <c r="A23">
        <f t="shared" si="0"/>
        <v>22</v>
      </c>
      <c r="B23">
        <v>3</v>
      </c>
      <c r="C23" t="s">
        <v>18</v>
      </c>
      <c r="D23">
        <v>1</v>
      </c>
      <c r="F23">
        <v>1</v>
      </c>
      <c r="G23">
        <v>2</v>
      </c>
      <c r="H23">
        <v>0</v>
      </c>
      <c r="I23" t="s">
        <v>80</v>
      </c>
      <c r="J23">
        <v>2</v>
      </c>
      <c r="K23">
        <v>1</v>
      </c>
      <c r="L23">
        <v>2</v>
      </c>
      <c r="M23">
        <v>1</v>
      </c>
      <c r="N23">
        <v>1</v>
      </c>
      <c r="O23">
        <v>1</v>
      </c>
      <c r="P23">
        <v>3</v>
      </c>
      <c r="Q23">
        <v>1</v>
      </c>
      <c r="R23" t="s">
        <v>31</v>
      </c>
      <c r="S23">
        <v>2</v>
      </c>
    </row>
    <row r="24" spans="1:19" x14ac:dyDescent="0.35">
      <c r="A24">
        <f t="shared" si="0"/>
        <v>23</v>
      </c>
      <c r="B24">
        <v>3</v>
      </c>
      <c r="C24" t="s">
        <v>18</v>
      </c>
      <c r="D24">
        <v>1</v>
      </c>
      <c r="F24">
        <v>1</v>
      </c>
      <c r="G24">
        <v>1</v>
      </c>
      <c r="H24">
        <v>1</v>
      </c>
      <c r="I24" t="s">
        <v>80</v>
      </c>
      <c r="J24">
        <v>2</v>
      </c>
      <c r="K24">
        <v>1</v>
      </c>
      <c r="L24">
        <v>1</v>
      </c>
      <c r="M24">
        <v>2</v>
      </c>
      <c r="N24">
        <v>1</v>
      </c>
      <c r="O24">
        <v>1</v>
      </c>
      <c r="P24">
        <v>1</v>
      </c>
      <c r="Q24">
        <v>0</v>
      </c>
      <c r="R24" t="s">
        <v>32</v>
      </c>
      <c r="S24" t="s">
        <v>24</v>
      </c>
    </row>
    <row r="25" spans="1:19" x14ac:dyDescent="0.35">
      <c r="A25">
        <f t="shared" si="0"/>
        <v>24</v>
      </c>
      <c r="B25">
        <v>3</v>
      </c>
      <c r="C25" t="s">
        <v>18</v>
      </c>
      <c r="D25">
        <v>1</v>
      </c>
      <c r="F25">
        <v>1</v>
      </c>
      <c r="G25">
        <v>1</v>
      </c>
      <c r="H25">
        <v>1</v>
      </c>
      <c r="I25">
        <v>2</v>
      </c>
      <c r="J25">
        <v>2</v>
      </c>
      <c r="K25">
        <v>1</v>
      </c>
      <c r="L25">
        <v>1</v>
      </c>
      <c r="M25">
        <v>1</v>
      </c>
      <c r="N25">
        <v>1</v>
      </c>
      <c r="O25">
        <v>1</v>
      </c>
      <c r="P25">
        <v>3</v>
      </c>
      <c r="Q25">
        <v>3</v>
      </c>
      <c r="R25" t="s">
        <v>23</v>
      </c>
      <c r="S25">
        <v>2</v>
      </c>
    </row>
    <row r="26" spans="1:19" x14ac:dyDescent="0.35">
      <c r="A26">
        <f t="shared" si="0"/>
        <v>25</v>
      </c>
      <c r="B26">
        <v>3</v>
      </c>
      <c r="C26" t="s">
        <v>18</v>
      </c>
      <c r="D26">
        <v>1</v>
      </c>
      <c r="F26">
        <v>1</v>
      </c>
      <c r="G26">
        <v>1</v>
      </c>
      <c r="H26">
        <v>1</v>
      </c>
      <c r="I26">
        <v>2</v>
      </c>
      <c r="J26">
        <v>2</v>
      </c>
      <c r="K26">
        <v>1</v>
      </c>
      <c r="L26">
        <v>1</v>
      </c>
      <c r="M26">
        <v>2</v>
      </c>
      <c r="N26">
        <v>1</v>
      </c>
      <c r="O26">
        <v>1</v>
      </c>
      <c r="P26">
        <v>1</v>
      </c>
      <c r="Q26">
        <v>2</v>
      </c>
      <c r="R26" t="s">
        <v>33</v>
      </c>
      <c r="S26">
        <v>2</v>
      </c>
    </row>
    <row r="27" spans="1:19" x14ac:dyDescent="0.35">
      <c r="A27">
        <f t="shared" si="0"/>
        <v>26</v>
      </c>
      <c r="B27">
        <v>2</v>
      </c>
      <c r="C27" t="s">
        <v>18</v>
      </c>
      <c r="D27">
        <v>1</v>
      </c>
      <c r="F27">
        <v>1</v>
      </c>
      <c r="G27">
        <v>1</v>
      </c>
      <c r="H27">
        <v>1</v>
      </c>
      <c r="I27" t="s">
        <v>81</v>
      </c>
      <c r="J27">
        <v>2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2</v>
      </c>
    </row>
    <row r="28" spans="1:19" x14ac:dyDescent="0.35">
      <c r="A28">
        <f t="shared" si="0"/>
        <v>27</v>
      </c>
      <c r="B28">
        <v>2</v>
      </c>
      <c r="C28" t="s">
        <v>18</v>
      </c>
      <c r="D28">
        <v>1</v>
      </c>
      <c r="F28">
        <v>1</v>
      </c>
      <c r="G28">
        <v>2</v>
      </c>
      <c r="H28">
        <v>1</v>
      </c>
      <c r="I28" t="s">
        <v>81</v>
      </c>
      <c r="J28">
        <v>2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2</v>
      </c>
      <c r="R28">
        <v>1</v>
      </c>
      <c r="S28">
        <v>1</v>
      </c>
    </row>
    <row r="29" spans="1:19" x14ac:dyDescent="0.35">
      <c r="A29">
        <f t="shared" si="0"/>
        <v>28</v>
      </c>
      <c r="B29">
        <v>1</v>
      </c>
      <c r="C29" t="s">
        <v>18</v>
      </c>
      <c r="D29">
        <v>1</v>
      </c>
      <c r="F29">
        <v>1</v>
      </c>
      <c r="G29">
        <v>1</v>
      </c>
      <c r="H29">
        <v>0</v>
      </c>
      <c r="I29" t="s">
        <v>80</v>
      </c>
      <c r="J29">
        <v>2</v>
      </c>
      <c r="K29">
        <v>3</v>
      </c>
      <c r="L29">
        <v>3</v>
      </c>
      <c r="M29">
        <v>3</v>
      </c>
      <c r="N29">
        <v>3</v>
      </c>
      <c r="O29">
        <v>3</v>
      </c>
      <c r="P29">
        <v>3</v>
      </c>
      <c r="Q29">
        <v>3</v>
      </c>
      <c r="R29">
        <v>0</v>
      </c>
      <c r="S29">
        <v>0</v>
      </c>
    </row>
    <row r="30" spans="1:19" x14ac:dyDescent="0.35">
      <c r="A30">
        <f t="shared" si="0"/>
        <v>29</v>
      </c>
      <c r="B30">
        <v>3</v>
      </c>
      <c r="C30" t="s">
        <v>18</v>
      </c>
      <c r="D30">
        <v>1</v>
      </c>
      <c r="F30">
        <v>1</v>
      </c>
      <c r="G30">
        <v>1</v>
      </c>
      <c r="H30">
        <v>1</v>
      </c>
      <c r="I30">
        <v>2</v>
      </c>
      <c r="J30">
        <v>1</v>
      </c>
      <c r="K30">
        <v>1</v>
      </c>
      <c r="L30">
        <v>1</v>
      </c>
      <c r="M30">
        <v>2</v>
      </c>
      <c r="N30">
        <v>1</v>
      </c>
      <c r="O30">
        <v>1</v>
      </c>
      <c r="P30">
        <v>1</v>
      </c>
      <c r="Q30">
        <v>2</v>
      </c>
      <c r="R30" t="s">
        <v>33</v>
      </c>
      <c r="S30">
        <v>2</v>
      </c>
    </row>
    <row r="31" spans="1:19" x14ac:dyDescent="0.35">
      <c r="A31">
        <f t="shared" si="0"/>
        <v>30</v>
      </c>
      <c r="B31">
        <v>2</v>
      </c>
      <c r="C31" t="s">
        <v>34</v>
      </c>
      <c r="D31">
        <v>1</v>
      </c>
      <c r="F31">
        <v>1</v>
      </c>
      <c r="G31">
        <v>1</v>
      </c>
      <c r="H31">
        <v>1</v>
      </c>
      <c r="I31" t="s">
        <v>81</v>
      </c>
      <c r="J31">
        <v>2</v>
      </c>
      <c r="K31">
        <v>1</v>
      </c>
      <c r="L31">
        <v>2</v>
      </c>
      <c r="M31">
        <v>1</v>
      </c>
      <c r="N31">
        <v>1</v>
      </c>
      <c r="O31">
        <v>1</v>
      </c>
      <c r="P31">
        <v>1</v>
      </c>
      <c r="Q31">
        <v>2</v>
      </c>
      <c r="R31" t="s">
        <v>22</v>
      </c>
      <c r="S31">
        <v>2</v>
      </c>
    </row>
    <row r="32" spans="1:19" x14ac:dyDescent="0.35">
      <c r="A32">
        <f t="shared" si="0"/>
        <v>31</v>
      </c>
      <c r="B32">
        <v>1</v>
      </c>
      <c r="C32" t="s">
        <v>34</v>
      </c>
      <c r="D32">
        <v>1</v>
      </c>
      <c r="F32">
        <v>1</v>
      </c>
      <c r="G32">
        <v>1</v>
      </c>
      <c r="H32">
        <v>1</v>
      </c>
      <c r="I32" t="s">
        <v>80</v>
      </c>
      <c r="J32">
        <v>1</v>
      </c>
      <c r="K32">
        <v>1</v>
      </c>
      <c r="L32">
        <v>1</v>
      </c>
      <c r="M32">
        <v>2</v>
      </c>
      <c r="N32">
        <v>1</v>
      </c>
      <c r="O32">
        <v>1</v>
      </c>
      <c r="P32">
        <v>1</v>
      </c>
      <c r="Q32">
        <v>2</v>
      </c>
      <c r="R32" t="s">
        <v>22</v>
      </c>
      <c r="S32">
        <v>0</v>
      </c>
    </row>
    <row r="33" spans="1:19" x14ac:dyDescent="0.35">
      <c r="A33">
        <f t="shared" si="0"/>
        <v>32</v>
      </c>
      <c r="B33">
        <v>1</v>
      </c>
      <c r="C33" t="s">
        <v>35</v>
      </c>
      <c r="D33">
        <v>2</v>
      </c>
      <c r="F33">
        <v>1</v>
      </c>
      <c r="G33">
        <v>1</v>
      </c>
      <c r="H33">
        <v>1</v>
      </c>
      <c r="I33">
        <v>2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5</v>
      </c>
      <c r="R33" t="s">
        <v>22</v>
      </c>
      <c r="S33">
        <v>0</v>
      </c>
    </row>
    <row r="34" spans="1:19" x14ac:dyDescent="0.35">
      <c r="A34">
        <f t="shared" si="0"/>
        <v>33</v>
      </c>
      <c r="B34">
        <v>1</v>
      </c>
      <c r="C34" t="s">
        <v>36</v>
      </c>
      <c r="D34">
        <v>1</v>
      </c>
      <c r="F34">
        <v>1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35">
      <c r="A35">
        <v>34</v>
      </c>
      <c r="B35">
        <v>1</v>
      </c>
      <c r="C35" t="s">
        <v>35</v>
      </c>
      <c r="D35">
        <v>2</v>
      </c>
      <c r="F35">
        <v>1</v>
      </c>
      <c r="H35">
        <v>1</v>
      </c>
      <c r="I35">
        <v>2</v>
      </c>
      <c r="J35">
        <v>1</v>
      </c>
      <c r="K35">
        <v>1</v>
      </c>
      <c r="L35">
        <v>6</v>
      </c>
      <c r="M35">
        <v>1</v>
      </c>
      <c r="N35">
        <v>2</v>
      </c>
      <c r="O35">
        <v>1</v>
      </c>
      <c r="P35">
        <v>1</v>
      </c>
      <c r="Q35">
        <v>3</v>
      </c>
      <c r="R35" t="s">
        <v>23</v>
      </c>
      <c r="S35">
        <v>0</v>
      </c>
    </row>
    <row r="36" spans="1:19" x14ac:dyDescent="0.35">
      <c r="A36">
        <v>35</v>
      </c>
      <c r="B36">
        <v>1</v>
      </c>
      <c r="C36" t="s">
        <v>35</v>
      </c>
      <c r="D36">
        <v>0</v>
      </c>
      <c r="F36">
        <v>1</v>
      </c>
      <c r="G36">
        <v>1</v>
      </c>
      <c r="H36">
        <v>1</v>
      </c>
      <c r="I36">
        <v>2</v>
      </c>
      <c r="J36">
        <v>2</v>
      </c>
      <c r="K36">
        <v>1</v>
      </c>
      <c r="L36">
        <v>1</v>
      </c>
      <c r="M36">
        <v>1</v>
      </c>
      <c r="N36">
        <v>1</v>
      </c>
      <c r="O36">
        <v>1</v>
      </c>
      <c r="P36">
        <v>3</v>
      </c>
      <c r="Q36">
        <v>2</v>
      </c>
      <c r="R36" t="s">
        <v>23</v>
      </c>
      <c r="S36">
        <v>2</v>
      </c>
    </row>
    <row r="37" spans="1:19" x14ac:dyDescent="0.35">
      <c r="A37">
        <v>36</v>
      </c>
      <c r="B37">
        <v>1</v>
      </c>
      <c r="C37" t="s">
        <v>34</v>
      </c>
      <c r="D37">
        <v>2</v>
      </c>
      <c r="F37">
        <v>1</v>
      </c>
      <c r="G37">
        <v>1</v>
      </c>
      <c r="H37">
        <v>1</v>
      </c>
      <c r="I37">
        <v>2</v>
      </c>
      <c r="J37">
        <v>1</v>
      </c>
      <c r="K37">
        <v>1</v>
      </c>
      <c r="L37">
        <v>1</v>
      </c>
      <c r="M37">
        <v>2</v>
      </c>
      <c r="N37">
        <v>1</v>
      </c>
      <c r="O37">
        <v>3</v>
      </c>
      <c r="P37">
        <v>1</v>
      </c>
      <c r="Q37">
        <v>1</v>
      </c>
      <c r="R37" t="s">
        <v>23</v>
      </c>
      <c r="S37">
        <v>2</v>
      </c>
    </row>
    <row r="38" spans="1:19" x14ac:dyDescent="0.35">
      <c r="A38">
        <v>37</v>
      </c>
      <c r="B38">
        <v>1</v>
      </c>
      <c r="C38" t="s">
        <v>34</v>
      </c>
      <c r="D38">
        <v>2</v>
      </c>
      <c r="F38">
        <v>1</v>
      </c>
      <c r="G38">
        <v>1</v>
      </c>
      <c r="H38">
        <v>1</v>
      </c>
      <c r="I38" t="s">
        <v>81</v>
      </c>
      <c r="J38">
        <v>1</v>
      </c>
      <c r="K38">
        <v>1</v>
      </c>
      <c r="L38">
        <v>1</v>
      </c>
      <c r="M38">
        <v>2</v>
      </c>
      <c r="N38">
        <v>1</v>
      </c>
      <c r="O38">
        <v>1</v>
      </c>
      <c r="P38">
        <v>0</v>
      </c>
      <c r="Q38">
        <v>0</v>
      </c>
      <c r="R38" t="s">
        <v>20</v>
      </c>
      <c r="S38">
        <v>2</v>
      </c>
    </row>
    <row r="39" spans="1:19" x14ac:dyDescent="0.35">
      <c r="A39">
        <v>38</v>
      </c>
      <c r="B39">
        <v>1</v>
      </c>
      <c r="C39" t="s">
        <v>35</v>
      </c>
      <c r="D39">
        <v>1</v>
      </c>
      <c r="F39">
        <v>1</v>
      </c>
      <c r="G39">
        <v>1</v>
      </c>
      <c r="H39">
        <v>1</v>
      </c>
      <c r="I39" t="s">
        <v>81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0</v>
      </c>
      <c r="Q39">
        <v>3</v>
      </c>
      <c r="R39" t="s">
        <v>23</v>
      </c>
      <c r="S39">
        <v>2</v>
      </c>
    </row>
    <row r="40" spans="1:19" x14ac:dyDescent="0.35">
      <c r="A40">
        <v>39</v>
      </c>
      <c r="B40">
        <v>1</v>
      </c>
      <c r="C40" t="s">
        <v>35</v>
      </c>
      <c r="D40">
        <v>2</v>
      </c>
      <c r="F40">
        <v>1</v>
      </c>
      <c r="G40">
        <v>1</v>
      </c>
      <c r="H40">
        <v>1</v>
      </c>
      <c r="I40">
        <v>2</v>
      </c>
      <c r="J40">
        <v>1</v>
      </c>
      <c r="K40">
        <v>1</v>
      </c>
      <c r="L40">
        <v>1</v>
      </c>
      <c r="M40">
        <v>11</v>
      </c>
      <c r="N40">
        <v>1</v>
      </c>
      <c r="O40">
        <v>1</v>
      </c>
      <c r="P40">
        <v>1</v>
      </c>
      <c r="Q40">
        <v>2</v>
      </c>
      <c r="R40" t="s">
        <v>23</v>
      </c>
      <c r="S40">
        <v>2</v>
      </c>
    </row>
    <row r="41" spans="1:19" x14ac:dyDescent="0.35">
      <c r="A41">
        <v>40</v>
      </c>
      <c r="B41">
        <v>1</v>
      </c>
      <c r="C41" t="s">
        <v>35</v>
      </c>
      <c r="D41">
        <v>2</v>
      </c>
      <c r="F41">
        <v>1</v>
      </c>
      <c r="G41">
        <v>2</v>
      </c>
      <c r="H41">
        <v>1</v>
      </c>
      <c r="I41" t="s">
        <v>80</v>
      </c>
      <c r="J41">
        <v>2</v>
      </c>
      <c r="K41">
        <v>1</v>
      </c>
      <c r="L41">
        <v>1</v>
      </c>
      <c r="M41">
        <v>1</v>
      </c>
      <c r="N41">
        <v>2</v>
      </c>
      <c r="O41">
        <v>1</v>
      </c>
      <c r="P41">
        <v>3</v>
      </c>
      <c r="Q41">
        <v>2</v>
      </c>
      <c r="R41" t="s">
        <v>22</v>
      </c>
      <c r="S41" t="s">
        <v>21</v>
      </c>
    </row>
    <row r="42" spans="1:19" x14ac:dyDescent="0.35">
      <c r="A42">
        <v>41</v>
      </c>
      <c r="B42">
        <v>1</v>
      </c>
      <c r="C42" t="s">
        <v>18</v>
      </c>
      <c r="D42">
        <v>2</v>
      </c>
      <c r="F42">
        <v>1</v>
      </c>
      <c r="G42">
        <v>0</v>
      </c>
      <c r="H42">
        <v>0</v>
      </c>
      <c r="I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35">
      <c r="A43">
        <v>42</v>
      </c>
      <c r="B43">
        <v>2</v>
      </c>
      <c r="C43" t="s">
        <v>35</v>
      </c>
      <c r="D43">
        <v>2</v>
      </c>
      <c r="F43">
        <v>1</v>
      </c>
      <c r="G43">
        <v>1</v>
      </c>
      <c r="H43">
        <v>1</v>
      </c>
      <c r="I43">
        <v>2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2</v>
      </c>
      <c r="R43" t="s">
        <v>33</v>
      </c>
      <c r="S43">
        <v>2</v>
      </c>
    </row>
    <row r="44" spans="1:19" x14ac:dyDescent="0.35">
      <c r="A44">
        <v>43</v>
      </c>
      <c r="B44">
        <v>2</v>
      </c>
      <c r="C44" t="s">
        <v>35</v>
      </c>
      <c r="D44">
        <v>2</v>
      </c>
      <c r="F44">
        <v>1</v>
      </c>
      <c r="G44">
        <v>1</v>
      </c>
      <c r="H44">
        <v>1</v>
      </c>
      <c r="I44" t="s">
        <v>81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5</v>
      </c>
      <c r="R44" t="s">
        <v>20</v>
      </c>
      <c r="S44" t="s">
        <v>21</v>
      </c>
    </row>
    <row r="45" spans="1:19" x14ac:dyDescent="0.35">
      <c r="A45">
        <v>44</v>
      </c>
      <c r="B45">
        <v>1</v>
      </c>
      <c r="C45" t="s">
        <v>35</v>
      </c>
      <c r="D45">
        <v>2</v>
      </c>
      <c r="F45">
        <v>1</v>
      </c>
      <c r="G45">
        <v>1</v>
      </c>
      <c r="H45">
        <v>1</v>
      </c>
      <c r="I45" t="s">
        <v>81</v>
      </c>
      <c r="J45">
        <v>1</v>
      </c>
      <c r="K45">
        <v>1</v>
      </c>
      <c r="L45">
        <v>1</v>
      </c>
      <c r="M45">
        <v>2</v>
      </c>
      <c r="N45">
        <v>1</v>
      </c>
      <c r="O45">
        <v>1</v>
      </c>
      <c r="P45">
        <v>1</v>
      </c>
      <c r="Q45">
        <v>2</v>
      </c>
      <c r="R45" t="s">
        <v>23</v>
      </c>
      <c r="S45">
        <v>2</v>
      </c>
    </row>
    <row r="46" spans="1:19" x14ac:dyDescent="0.35">
      <c r="A46">
        <v>45</v>
      </c>
      <c r="B46">
        <v>1</v>
      </c>
      <c r="C46" t="s">
        <v>35</v>
      </c>
      <c r="D46">
        <v>2</v>
      </c>
      <c r="F46">
        <v>1</v>
      </c>
      <c r="G46">
        <v>2</v>
      </c>
      <c r="H46">
        <v>2</v>
      </c>
      <c r="I46">
        <v>3</v>
      </c>
      <c r="J46">
        <v>2</v>
      </c>
      <c r="K46">
        <v>3</v>
      </c>
      <c r="L46">
        <v>2</v>
      </c>
      <c r="M46">
        <v>2</v>
      </c>
      <c r="N46">
        <v>2</v>
      </c>
      <c r="O46">
        <v>2</v>
      </c>
      <c r="P46">
        <v>3</v>
      </c>
      <c r="Q46">
        <v>3</v>
      </c>
      <c r="R46" t="s">
        <v>37</v>
      </c>
      <c r="S46" t="s">
        <v>21</v>
      </c>
    </row>
    <row r="47" spans="1:19" x14ac:dyDescent="0.35">
      <c r="A47">
        <v>46</v>
      </c>
      <c r="B47">
        <v>1</v>
      </c>
      <c r="C47" t="s">
        <v>35</v>
      </c>
      <c r="D47">
        <v>2</v>
      </c>
      <c r="F47">
        <v>1</v>
      </c>
      <c r="G47">
        <v>1</v>
      </c>
      <c r="H47">
        <v>1</v>
      </c>
      <c r="I47" t="s">
        <v>81</v>
      </c>
      <c r="J47">
        <v>2</v>
      </c>
      <c r="K47">
        <v>1</v>
      </c>
      <c r="L47">
        <v>1</v>
      </c>
      <c r="M47">
        <v>2</v>
      </c>
      <c r="N47">
        <v>1</v>
      </c>
      <c r="O47">
        <v>1</v>
      </c>
      <c r="P47">
        <v>0</v>
      </c>
      <c r="Q47">
        <v>0</v>
      </c>
      <c r="R47" t="s">
        <v>33</v>
      </c>
      <c r="S47">
        <v>2</v>
      </c>
    </row>
    <row r="48" spans="1:19" x14ac:dyDescent="0.35">
      <c r="A48">
        <v>47</v>
      </c>
      <c r="B48">
        <v>1</v>
      </c>
      <c r="C48" t="s">
        <v>18</v>
      </c>
      <c r="D48">
        <v>2</v>
      </c>
      <c r="F48">
        <v>1</v>
      </c>
      <c r="G48">
        <v>2</v>
      </c>
      <c r="H48">
        <v>0</v>
      </c>
      <c r="I48" t="s">
        <v>82</v>
      </c>
      <c r="J48">
        <v>2</v>
      </c>
      <c r="K48">
        <v>1</v>
      </c>
      <c r="L48">
        <v>1</v>
      </c>
      <c r="M48">
        <v>1</v>
      </c>
      <c r="N48">
        <v>2</v>
      </c>
      <c r="O48">
        <v>1</v>
      </c>
      <c r="P48">
        <v>1</v>
      </c>
      <c r="Q48">
        <v>5</v>
      </c>
      <c r="R48">
        <v>1</v>
      </c>
      <c r="S48">
        <v>2</v>
      </c>
    </row>
    <row r="49" spans="1:19" x14ac:dyDescent="0.35">
      <c r="A49">
        <v>48</v>
      </c>
      <c r="B49">
        <v>1</v>
      </c>
      <c r="C49" t="s">
        <v>35</v>
      </c>
      <c r="D49">
        <v>2</v>
      </c>
      <c r="F49">
        <v>1</v>
      </c>
      <c r="G49">
        <v>1</v>
      </c>
      <c r="H49">
        <v>1</v>
      </c>
      <c r="I49">
        <v>2</v>
      </c>
      <c r="J49">
        <v>2</v>
      </c>
      <c r="K49">
        <v>1</v>
      </c>
      <c r="L49">
        <v>0</v>
      </c>
      <c r="M49">
        <v>2</v>
      </c>
      <c r="N49">
        <v>1</v>
      </c>
      <c r="O49">
        <v>1</v>
      </c>
      <c r="P49">
        <v>3</v>
      </c>
      <c r="Q49">
        <v>3</v>
      </c>
      <c r="R49" t="s">
        <v>23</v>
      </c>
      <c r="S49">
        <v>2</v>
      </c>
    </row>
    <row r="50" spans="1:19" x14ac:dyDescent="0.35">
      <c r="A50">
        <v>49</v>
      </c>
      <c r="B50">
        <v>2</v>
      </c>
      <c r="C50" t="s">
        <v>36</v>
      </c>
      <c r="D50">
        <v>2</v>
      </c>
      <c r="F50">
        <v>1</v>
      </c>
      <c r="G50">
        <v>2</v>
      </c>
      <c r="H50">
        <v>0</v>
      </c>
      <c r="I50">
        <v>3</v>
      </c>
      <c r="J50">
        <v>3</v>
      </c>
      <c r="K50">
        <v>3</v>
      </c>
      <c r="L50">
        <v>3</v>
      </c>
      <c r="M50">
        <v>3</v>
      </c>
      <c r="N50">
        <v>3</v>
      </c>
      <c r="O50">
        <v>3</v>
      </c>
      <c r="P50">
        <v>3</v>
      </c>
      <c r="Q50">
        <v>3</v>
      </c>
      <c r="R50">
        <v>0</v>
      </c>
      <c r="S50">
        <v>0</v>
      </c>
    </row>
    <row r="51" spans="1:19" x14ac:dyDescent="0.35">
      <c r="A51">
        <v>50</v>
      </c>
      <c r="B51">
        <v>1</v>
      </c>
      <c r="C51" t="s">
        <v>34</v>
      </c>
      <c r="D51">
        <v>2</v>
      </c>
      <c r="F51">
        <v>1</v>
      </c>
      <c r="G51">
        <v>2</v>
      </c>
      <c r="H51">
        <v>0</v>
      </c>
      <c r="I51" t="s">
        <v>80</v>
      </c>
      <c r="J51">
        <v>1</v>
      </c>
      <c r="K51">
        <v>1</v>
      </c>
      <c r="L51">
        <v>2</v>
      </c>
      <c r="M51">
        <v>2</v>
      </c>
      <c r="N51">
        <v>2</v>
      </c>
      <c r="O51">
        <v>1</v>
      </c>
      <c r="P51">
        <v>3</v>
      </c>
      <c r="Q51">
        <v>0</v>
      </c>
      <c r="R51" t="s">
        <v>33</v>
      </c>
      <c r="S51">
        <v>2</v>
      </c>
    </row>
    <row r="52" spans="1:19" x14ac:dyDescent="0.35">
      <c r="A52">
        <v>51</v>
      </c>
      <c r="B52">
        <v>1</v>
      </c>
      <c r="C52" t="s">
        <v>18</v>
      </c>
      <c r="D52">
        <v>2</v>
      </c>
      <c r="F52">
        <v>1</v>
      </c>
      <c r="G52">
        <v>2</v>
      </c>
      <c r="H52">
        <v>2</v>
      </c>
      <c r="I52">
        <v>3</v>
      </c>
      <c r="J52">
        <v>2</v>
      </c>
      <c r="K52">
        <v>1</v>
      </c>
      <c r="L52">
        <v>1</v>
      </c>
      <c r="M52">
        <v>1</v>
      </c>
      <c r="N52">
        <v>1</v>
      </c>
      <c r="O52">
        <v>1</v>
      </c>
      <c r="P52">
        <v>3</v>
      </c>
      <c r="Q52">
        <v>2</v>
      </c>
      <c r="R52" t="s">
        <v>28</v>
      </c>
      <c r="S52">
        <v>1</v>
      </c>
    </row>
    <row r="53" spans="1:19" x14ac:dyDescent="0.35">
      <c r="A53">
        <v>52</v>
      </c>
      <c r="B53">
        <v>3</v>
      </c>
      <c r="C53" t="s">
        <v>18</v>
      </c>
      <c r="D53">
        <v>1</v>
      </c>
      <c r="F53">
        <v>1</v>
      </c>
      <c r="G53">
        <v>1</v>
      </c>
      <c r="H53">
        <v>1</v>
      </c>
      <c r="I53" t="s">
        <v>80</v>
      </c>
      <c r="J53">
        <v>2</v>
      </c>
      <c r="K53">
        <v>1</v>
      </c>
      <c r="L53">
        <v>1</v>
      </c>
      <c r="M53">
        <v>1</v>
      </c>
      <c r="N53">
        <v>2</v>
      </c>
      <c r="O53">
        <v>1</v>
      </c>
      <c r="P53">
        <v>3</v>
      </c>
      <c r="Q53">
        <v>3</v>
      </c>
      <c r="R53" t="s">
        <v>32</v>
      </c>
      <c r="S53">
        <v>2</v>
      </c>
    </row>
    <row r="54" spans="1:19" x14ac:dyDescent="0.35">
      <c r="A54">
        <v>53</v>
      </c>
      <c r="B54">
        <v>2</v>
      </c>
      <c r="C54" t="s">
        <v>18</v>
      </c>
      <c r="D54">
        <v>1</v>
      </c>
      <c r="F54">
        <v>1</v>
      </c>
      <c r="G54">
        <v>2</v>
      </c>
      <c r="H54">
        <v>0</v>
      </c>
      <c r="I54" t="s">
        <v>80</v>
      </c>
      <c r="J54">
        <v>0</v>
      </c>
      <c r="K54">
        <v>1</v>
      </c>
      <c r="L54">
        <v>2</v>
      </c>
      <c r="M54">
        <v>2</v>
      </c>
      <c r="N54">
        <v>2</v>
      </c>
      <c r="O54">
        <v>2</v>
      </c>
      <c r="P54">
        <v>1</v>
      </c>
      <c r="Q54">
        <v>5</v>
      </c>
      <c r="R54">
        <v>0</v>
      </c>
      <c r="S54">
        <v>0</v>
      </c>
    </row>
    <row r="55" spans="1:19" x14ac:dyDescent="0.35">
      <c r="A55">
        <v>54</v>
      </c>
      <c r="B55">
        <v>4</v>
      </c>
      <c r="C55" t="s">
        <v>35</v>
      </c>
      <c r="D55">
        <v>2</v>
      </c>
      <c r="F55">
        <v>1</v>
      </c>
      <c r="G55">
        <v>1</v>
      </c>
      <c r="H55">
        <v>1</v>
      </c>
      <c r="I55">
        <v>2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5</v>
      </c>
      <c r="R55" t="s">
        <v>33</v>
      </c>
      <c r="S55" t="s">
        <v>38</v>
      </c>
    </row>
    <row r="56" spans="1:19" x14ac:dyDescent="0.35">
      <c r="A56">
        <v>55</v>
      </c>
      <c r="B56">
        <v>1</v>
      </c>
      <c r="C56" t="s">
        <v>34</v>
      </c>
      <c r="D56">
        <v>2</v>
      </c>
      <c r="F56">
        <v>1</v>
      </c>
      <c r="G56">
        <v>1</v>
      </c>
      <c r="H56">
        <v>1</v>
      </c>
      <c r="I56">
        <v>2</v>
      </c>
      <c r="J56">
        <v>1</v>
      </c>
      <c r="K56">
        <v>1</v>
      </c>
      <c r="L56">
        <v>2</v>
      </c>
      <c r="M56">
        <v>1</v>
      </c>
      <c r="N56">
        <v>1</v>
      </c>
      <c r="O56">
        <v>1</v>
      </c>
      <c r="P56">
        <v>0</v>
      </c>
      <c r="Q56">
        <v>0</v>
      </c>
      <c r="R56" t="s">
        <v>33</v>
      </c>
      <c r="S56" t="s">
        <v>39</v>
      </c>
    </row>
    <row r="57" spans="1:19" x14ac:dyDescent="0.35">
      <c r="A57">
        <v>56</v>
      </c>
      <c r="B57">
        <v>1</v>
      </c>
      <c r="C57">
        <v>0</v>
      </c>
      <c r="D57">
        <v>2</v>
      </c>
      <c r="F57">
        <v>1</v>
      </c>
      <c r="G57">
        <v>1</v>
      </c>
      <c r="H57">
        <v>1</v>
      </c>
      <c r="I57" t="s">
        <v>81</v>
      </c>
      <c r="J57">
        <v>1</v>
      </c>
      <c r="K57">
        <v>1</v>
      </c>
      <c r="L57">
        <v>1</v>
      </c>
      <c r="M57">
        <v>1</v>
      </c>
      <c r="N57">
        <v>1</v>
      </c>
      <c r="O57" t="s">
        <v>40</v>
      </c>
      <c r="P57">
        <v>1</v>
      </c>
      <c r="Q57">
        <v>5</v>
      </c>
      <c r="R57" t="s">
        <v>23</v>
      </c>
      <c r="S57">
        <v>0</v>
      </c>
    </row>
    <row r="58" spans="1:19" x14ac:dyDescent="0.35">
      <c r="A58">
        <v>57</v>
      </c>
      <c r="B58">
        <v>2</v>
      </c>
      <c r="C58" t="s">
        <v>35</v>
      </c>
      <c r="D58">
        <v>2</v>
      </c>
      <c r="F58">
        <v>1</v>
      </c>
      <c r="G58">
        <v>1</v>
      </c>
      <c r="H58">
        <v>1</v>
      </c>
      <c r="I58" t="s">
        <v>81</v>
      </c>
      <c r="J58">
        <v>1</v>
      </c>
      <c r="K58">
        <v>1</v>
      </c>
      <c r="L58">
        <v>1</v>
      </c>
      <c r="M58">
        <v>2</v>
      </c>
      <c r="N58">
        <v>1</v>
      </c>
      <c r="O58">
        <v>1</v>
      </c>
      <c r="P58">
        <v>0</v>
      </c>
      <c r="Q58">
        <v>2</v>
      </c>
      <c r="R58" t="s">
        <v>33</v>
      </c>
      <c r="S58">
        <v>0</v>
      </c>
    </row>
    <row r="59" spans="1:19" x14ac:dyDescent="0.35">
      <c r="A59">
        <v>58</v>
      </c>
      <c r="B59">
        <v>1</v>
      </c>
      <c r="C59" t="s">
        <v>41</v>
      </c>
      <c r="D59">
        <v>1</v>
      </c>
      <c r="F59">
        <v>1</v>
      </c>
      <c r="G59">
        <v>1</v>
      </c>
      <c r="H59">
        <v>0</v>
      </c>
      <c r="I59" t="s">
        <v>80</v>
      </c>
      <c r="J59">
        <v>1</v>
      </c>
      <c r="K59">
        <v>1</v>
      </c>
      <c r="L59">
        <v>2</v>
      </c>
      <c r="M59">
        <v>2</v>
      </c>
      <c r="N59">
        <v>1</v>
      </c>
      <c r="O59">
        <v>1</v>
      </c>
      <c r="P59">
        <v>1</v>
      </c>
      <c r="Q59">
        <v>2</v>
      </c>
      <c r="R59">
        <v>0</v>
      </c>
      <c r="S59">
        <v>0</v>
      </c>
    </row>
    <row r="60" spans="1:19" x14ac:dyDescent="0.35">
      <c r="A60">
        <v>59</v>
      </c>
      <c r="B60">
        <v>2</v>
      </c>
      <c r="C60" t="s">
        <v>42</v>
      </c>
      <c r="D60">
        <v>2</v>
      </c>
      <c r="F60">
        <v>1</v>
      </c>
      <c r="G60">
        <v>2</v>
      </c>
      <c r="H60">
        <v>2</v>
      </c>
      <c r="I60" t="s">
        <v>80</v>
      </c>
      <c r="J60">
        <v>2</v>
      </c>
      <c r="K60">
        <v>7</v>
      </c>
      <c r="L60">
        <v>2</v>
      </c>
      <c r="M60">
        <v>2</v>
      </c>
      <c r="N60">
        <v>2</v>
      </c>
      <c r="O60">
        <v>2</v>
      </c>
      <c r="P60">
        <v>1</v>
      </c>
      <c r="Q60">
        <v>1</v>
      </c>
      <c r="R60">
        <v>0</v>
      </c>
      <c r="S60">
        <v>0</v>
      </c>
    </row>
    <row r="61" spans="1:19" x14ac:dyDescent="0.35">
      <c r="A61">
        <v>60</v>
      </c>
      <c r="B61">
        <v>2</v>
      </c>
      <c r="C61" t="s">
        <v>35</v>
      </c>
      <c r="D61">
        <v>2</v>
      </c>
      <c r="F61">
        <v>1</v>
      </c>
      <c r="G61">
        <v>1</v>
      </c>
      <c r="H61">
        <v>1</v>
      </c>
      <c r="I61">
        <v>2</v>
      </c>
      <c r="J61">
        <v>2</v>
      </c>
      <c r="K61">
        <v>1</v>
      </c>
      <c r="L61">
        <v>2</v>
      </c>
      <c r="M61">
        <v>2</v>
      </c>
      <c r="N61">
        <v>1</v>
      </c>
      <c r="O61">
        <v>1</v>
      </c>
      <c r="P61">
        <v>3</v>
      </c>
      <c r="Q61">
        <v>3</v>
      </c>
      <c r="R61" t="s">
        <v>23</v>
      </c>
      <c r="S61">
        <v>2</v>
      </c>
    </row>
    <row r="62" spans="1:19" x14ac:dyDescent="0.35">
      <c r="A62">
        <v>61</v>
      </c>
      <c r="B62">
        <v>4</v>
      </c>
      <c r="C62" t="s">
        <v>18</v>
      </c>
      <c r="D62">
        <v>2</v>
      </c>
      <c r="F62">
        <v>1</v>
      </c>
      <c r="G62">
        <v>1</v>
      </c>
      <c r="H62">
        <v>1</v>
      </c>
      <c r="I62" t="s">
        <v>82</v>
      </c>
      <c r="J62">
        <v>2</v>
      </c>
      <c r="K62">
        <v>1</v>
      </c>
      <c r="L62">
        <v>1</v>
      </c>
      <c r="M62">
        <v>1</v>
      </c>
      <c r="N62">
        <v>1</v>
      </c>
      <c r="O62">
        <v>1</v>
      </c>
      <c r="P62">
        <v>3</v>
      </c>
      <c r="Q62">
        <v>1</v>
      </c>
      <c r="R62" t="s">
        <v>33</v>
      </c>
      <c r="S62">
        <v>2</v>
      </c>
    </row>
    <row r="63" spans="1:19" x14ac:dyDescent="0.35">
      <c r="A63">
        <v>62</v>
      </c>
      <c r="B63">
        <v>1</v>
      </c>
      <c r="C63" t="s">
        <v>35</v>
      </c>
      <c r="D63">
        <v>2</v>
      </c>
      <c r="F63">
        <v>1</v>
      </c>
      <c r="G63">
        <v>1</v>
      </c>
      <c r="H63">
        <v>1</v>
      </c>
      <c r="I63">
        <v>2</v>
      </c>
      <c r="J63">
        <v>1</v>
      </c>
      <c r="K63">
        <v>6</v>
      </c>
      <c r="L63">
        <v>2</v>
      </c>
      <c r="M63">
        <v>2</v>
      </c>
      <c r="N63">
        <v>1</v>
      </c>
      <c r="O63">
        <v>1</v>
      </c>
      <c r="P63">
        <v>3</v>
      </c>
      <c r="Q63">
        <v>5</v>
      </c>
      <c r="R63" t="s">
        <v>22</v>
      </c>
      <c r="S63">
        <v>2</v>
      </c>
    </row>
    <row r="64" spans="1:19" x14ac:dyDescent="0.35">
      <c r="A64">
        <v>63</v>
      </c>
      <c r="B64">
        <v>4</v>
      </c>
      <c r="C64" t="s">
        <v>18</v>
      </c>
      <c r="D64">
        <v>2</v>
      </c>
      <c r="F64">
        <v>1</v>
      </c>
      <c r="G64">
        <v>1</v>
      </c>
      <c r="H64">
        <v>1</v>
      </c>
      <c r="I64">
        <v>2</v>
      </c>
      <c r="J64">
        <v>2</v>
      </c>
      <c r="K64">
        <v>1</v>
      </c>
      <c r="L64">
        <v>1</v>
      </c>
      <c r="M64">
        <v>2</v>
      </c>
      <c r="N64">
        <v>1</v>
      </c>
      <c r="O64">
        <v>1</v>
      </c>
      <c r="P64">
        <v>3</v>
      </c>
      <c r="Q64">
        <v>0</v>
      </c>
      <c r="R64" t="s">
        <v>28</v>
      </c>
      <c r="S64">
        <v>2</v>
      </c>
    </row>
    <row r="65" spans="1:19" x14ac:dyDescent="0.35">
      <c r="A65">
        <v>64</v>
      </c>
      <c r="B65">
        <v>3</v>
      </c>
      <c r="C65" t="s">
        <v>18</v>
      </c>
      <c r="D65">
        <v>1</v>
      </c>
      <c r="F65">
        <v>1</v>
      </c>
      <c r="G65">
        <v>1</v>
      </c>
      <c r="H65">
        <v>1</v>
      </c>
      <c r="I65" t="s">
        <v>80</v>
      </c>
      <c r="J65">
        <v>2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2</v>
      </c>
      <c r="R65" t="s">
        <v>23</v>
      </c>
      <c r="S65" t="s">
        <v>43</v>
      </c>
    </row>
    <row r="66" spans="1:19" x14ac:dyDescent="0.35">
      <c r="A66">
        <v>65</v>
      </c>
      <c r="B66">
        <v>2</v>
      </c>
      <c r="C66" t="s">
        <v>35</v>
      </c>
      <c r="D66">
        <v>2</v>
      </c>
      <c r="F66">
        <v>1</v>
      </c>
      <c r="G66">
        <v>2</v>
      </c>
      <c r="H66">
        <v>0</v>
      </c>
      <c r="I66">
        <v>2</v>
      </c>
      <c r="J66">
        <v>2</v>
      </c>
      <c r="K66">
        <v>1</v>
      </c>
      <c r="L66">
        <v>2</v>
      </c>
      <c r="M66">
        <v>2</v>
      </c>
      <c r="N66">
        <v>2</v>
      </c>
      <c r="O66">
        <v>1</v>
      </c>
      <c r="P66">
        <v>1</v>
      </c>
      <c r="Q66">
        <v>2</v>
      </c>
      <c r="R66" t="s">
        <v>23</v>
      </c>
      <c r="S66">
        <v>2</v>
      </c>
    </row>
    <row r="67" spans="1:19" x14ac:dyDescent="0.35">
      <c r="A67">
        <v>66</v>
      </c>
      <c r="B67">
        <v>1</v>
      </c>
      <c r="C67" t="s">
        <v>44</v>
      </c>
      <c r="D67">
        <v>2</v>
      </c>
      <c r="F67">
        <v>1</v>
      </c>
      <c r="G67">
        <v>3</v>
      </c>
      <c r="H67">
        <v>2</v>
      </c>
      <c r="I67" t="s">
        <v>81</v>
      </c>
      <c r="J67">
        <v>2</v>
      </c>
      <c r="K67">
        <v>2</v>
      </c>
      <c r="L67">
        <v>1</v>
      </c>
      <c r="M67">
        <v>2</v>
      </c>
      <c r="N67">
        <v>1</v>
      </c>
      <c r="O67">
        <v>1</v>
      </c>
      <c r="P67">
        <v>3</v>
      </c>
      <c r="Q67">
        <v>3</v>
      </c>
      <c r="R67" t="s">
        <v>23</v>
      </c>
      <c r="S67">
        <v>2</v>
      </c>
    </row>
    <row r="68" spans="1:19" x14ac:dyDescent="0.35">
      <c r="A68">
        <v>67</v>
      </c>
      <c r="B68">
        <v>1</v>
      </c>
      <c r="C68" t="s">
        <v>34</v>
      </c>
      <c r="D68">
        <v>2</v>
      </c>
      <c r="F68">
        <v>1</v>
      </c>
      <c r="G68">
        <v>1</v>
      </c>
      <c r="H68">
        <v>1</v>
      </c>
      <c r="I68">
        <v>2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3</v>
      </c>
      <c r="Q68">
        <v>2</v>
      </c>
      <c r="R68" t="s">
        <v>23</v>
      </c>
      <c r="S68">
        <v>2</v>
      </c>
    </row>
    <row r="69" spans="1:19" x14ac:dyDescent="0.35">
      <c r="A69">
        <v>68</v>
      </c>
      <c r="B69">
        <v>2</v>
      </c>
      <c r="C69" t="s">
        <v>45</v>
      </c>
      <c r="D69">
        <v>2</v>
      </c>
      <c r="F69">
        <v>1</v>
      </c>
      <c r="G69">
        <v>1</v>
      </c>
      <c r="H69">
        <v>1</v>
      </c>
      <c r="I69">
        <v>2</v>
      </c>
      <c r="J69">
        <v>2</v>
      </c>
      <c r="K69">
        <v>1</v>
      </c>
      <c r="L69">
        <v>1</v>
      </c>
      <c r="M69">
        <v>2</v>
      </c>
      <c r="N69">
        <v>2</v>
      </c>
      <c r="O69">
        <v>1</v>
      </c>
      <c r="P69">
        <v>3</v>
      </c>
      <c r="Q69">
        <v>8</v>
      </c>
      <c r="R69">
        <v>1</v>
      </c>
      <c r="S69" t="s">
        <v>21</v>
      </c>
    </row>
    <row r="70" spans="1:19" x14ac:dyDescent="0.35">
      <c r="A70">
        <v>69</v>
      </c>
      <c r="B70">
        <v>2</v>
      </c>
      <c r="C70" t="s">
        <v>34</v>
      </c>
      <c r="D70">
        <v>2</v>
      </c>
      <c r="F70">
        <v>1</v>
      </c>
      <c r="G70">
        <v>1</v>
      </c>
      <c r="H70">
        <v>1</v>
      </c>
      <c r="I70">
        <v>2</v>
      </c>
      <c r="J70">
        <v>2</v>
      </c>
      <c r="K70">
        <v>1</v>
      </c>
      <c r="L70">
        <v>1</v>
      </c>
      <c r="M70">
        <v>2</v>
      </c>
      <c r="N70">
        <v>2</v>
      </c>
      <c r="O70">
        <v>1</v>
      </c>
      <c r="P70">
        <v>3</v>
      </c>
      <c r="Q70">
        <v>2</v>
      </c>
      <c r="R70" t="s">
        <v>23</v>
      </c>
      <c r="S70">
        <v>2</v>
      </c>
    </row>
    <row r="71" spans="1:19" x14ac:dyDescent="0.35">
      <c r="A71">
        <v>70</v>
      </c>
      <c r="B71">
        <v>1</v>
      </c>
      <c r="C71" t="s">
        <v>34</v>
      </c>
      <c r="D71">
        <v>2</v>
      </c>
      <c r="F71">
        <v>1</v>
      </c>
      <c r="G71">
        <v>2</v>
      </c>
      <c r="H71">
        <v>0</v>
      </c>
      <c r="I71">
        <v>3</v>
      </c>
      <c r="J71">
        <v>3</v>
      </c>
      <c r="K71">
        <v>3</v>
      </c>
      <c r="L71">
        <v>3</v>
      </c>
      <c r="M71">
        <v>3</v>
      </c>
      <c r="N71">
        <v>3</v>
      </c>
      <c r="O71">
        <v>3</v>
      </c>
      <c r="P71">
        <v>3</v>
      </c>
      <c r="Q71">
        <v>3</v>
      </c>
      <c r="R71">
        <v>0</v>
      </c>
      <c r="S71">
        <v>0</v>
      </c>
    </row>
    <row r="72" spans="1:19" x14ac:dyDescent="0.35">
      <c r="A72">
        <v>71</v>
      </c>
      <c r="B72">
        <v>1</v>
      </c>
      <c r="C72" t="s">
        <v>35</v>
      </c>
      <c r="D72">
        <v>2</v>
      </c>
      <c r="F72">
        <v>1</v>
      </c>
      <c r="G72">
        <v>2</v>
      </c>
      <c r="H72">
        <v>1</v>
      </c>
      <c r="I72" t="s">
        <v>81</v>
      </c>
      <c r="J72">
        <v>2</v>
      </c>
      <c r="K72">
        <v>1</v>
      </c>
      <c r="L72">
        <v>2</v>
      </c>
      <c r="M72">
        <v>1</v>
      </c>
      <c r="N72">
        <v>1</v>
      </c>
      <c r="O72">
        <v>1</v>
      </c>
      <c r="P72">
        <v>1</v>
      </c>
      <c r="Q72">
        <v>1</v>
      </c>
      <c r="R72" t="s">
        <v>23</v>
      </c>
      <c r="S72">
        <v>2</v>
      </c>
    </row>
    <row r="73" spans="1:19" x14ac:dyDescent="0.35">
      <c r="A73">
        <v>72</v>
      </c>
      <c r="B73">
        <v>2</v>
      </c>
      <c r="C73" t="s">
        <v>35</v>
      </c>
      <c r="D73">
        <v>2</v>
      </c>
      <c r="F73">
        <v>1</v>
      </c>
      <c r="G73">
        <v>2</v>
      </c>
      <c r="H73">
        <v>0</v>
      </c>
      <c r="I73">
        <v>3</v>
      </c>
      <c r="J73">
        <v>2</v>
      </c>
      <c r="K73">
        <v>3</v>
      </c>
      <c r="L73">
        <v>2</v>
      </c>
      <c r="M73">
        <v>3</v>
      </c>
      <c r="N73">
        <v>3</v>
      </c>
      <c r="O73">
        <v>3</v>
      </c>
      <c r="P73">
        <v>3</v>
      </c>
      <c r="Q73">
        <v>3</v>
      </c>
      <c r="R73">
        <v>3</v>
      </c>
      <c r="S73">
        <v>3</v>
      </c>
    </row>
    <row r="74" spans="1:19" x14ac:dyDescent="0.35">
      <c r="A74">
        <v>73</v>
      </c>
      <c r="B74">
        <v>1</v>
      </c>
      <c r="C74" t="s">
        <v>34</v>
      </c>
      <c r="D74">
        <v>2</v>
      </c>
      <c r="F74">
        <v>1</v>
      </c>
      <c r="G74">
        <v>2</v>
      </c>
      <c r="H74">
        <v>2</v>
      </c>
      <c r="I74">
        <v>3</v>
      </c>
      <c r="J74">
        <v>2</v>
      </c>
      <c r="K74">
        <v>3</v>
      </c>
      <c r="L74">
        <v>3</v>
      </c>
      <c r="M74">
        <v>3</v>
      </c>
      <c r="N74">
        <v>1</v>
      </c>
      <c r="O74">
        <v>1</v>
      </c>
      <c r="P74">
        <v>3</v>
      </c>
      <c r="Q74">
        <v>3</v>
      </c>
      <c r="R74">
        <v>1</v>
      </c>
      <c r="S74" t="s">
        <v>46</v>
      </c>
    </row>
    <row r="75" spans="1:19" x14ac:dyDescent="0.35">
      <c r="A75">
        <v>74</v>
      </c>
      <c r="B75">
        <v>1</v>
      </c>
      <c r="C75" t="s">
        <v>35</v>
      </c>
      <c r="D75">
        <v>2</v>
      </c>
      <c r="F75">
        <v>1</v>
      </c>
      <c r="G75">
        <v>1</v>
      </c>
      <c r="H75">
        <v>1</v>
      </c>
      <c r="I75" t="s">
        <v>80</v>
      </c>
      <c r="J75">
        <v>1</v>
      </c>
      <c r="K75">
        <v>1</v>
      </c>
      <c r="L75">
        <v>1</v>
      </c>
      <c r="M75">
        <v>2</v>
      </c>
      <c r="N75">
        <v>1</v>
      </c>
      <c r="O75">
        <v>1</v>
      </c>
      <c r="P75">
        <v>3</v>
      </c>
      <c r="Q75">
        <v>3</v>
      </c>
      <c r="R75" t="s">
        <v>23</v>
      </c>
      <c r="S75">
        <v>2</v>
      </c>
    </row>
    <row r="76" spans="1:19" x14ac:dyDescent="0.35">
      <c r="A76">
        <v>75</v>
      </c>
      <c r="B76">
        <v>1</v>
      </c>
      <c r="C76" t="s">
        <v>47</v>
      </c>
      <c r="D76">
        <v>2</v>
      </c>
      <c r="F76">
        <v>1</v>
      </c>
      <c r="G76">
        <v>2</v>
      </c>
      <c r="H76">
        <v>0</v>
      </c>
      <c r="I76" t="s">
        <v>80</v>
      </c>
      <c r="J76">
        <v>0</v>
      </c>
      <c r="K76">
        <v>7</v>
      </c>
      <c r="L76">
        <v>0</v>
      </c>
      <c r="M76">
        <v>2</v>
      </c>
      <c r="N76">
        <v>1</v>
      </c>
      <c r="O76">
        <v>1</v>
      </c>
      <c r="P76">
        <v>1</v>
      </c>
      <c r="Q76">
        <v>3</v>
      </c>
      <c r="R76">
        <v>0</v>
      </c>
      <c r="S76">
        <v>0</v>
      </c>
    </row>
    <row r="77" spans="1:19" x14ac:dyDescent="0.35">
      <c r="A77">
        <v>76</v>
      </c>
      <c r="B77">
        <v>2</v>
      </c>
      <c r="C77" t="s">
        <v>35</v>
      </c>
      <c r="D77">
        <v>2</v>
      </c>
      <c r="F77">
        <v>1</v>
      </c>
      <c r="G77">
        <v>2</v>
      </c>
      <c r="H77">
        <v>2</v>
      </c>
      <c r="I77" t="s">
        <v>80</v>
      </c>
      <c r="J77">
        <v>2</v>
      </c>
      <c r="K77">
        <v>1</v>
      </c>
      <c r="L77">
        <v>2</v>
      </c>
      <c r="M77">
        <v>1</v>
      </c>
      <c r="N77">
        <v>1</v>
      </c>
      <c r="O77">
        <v>1</v>
      </c>
      <c r="P77">
        <v>1</v>
      </c>
      <c r="Q77">
        <v>1</v>
      </c>
      <c r="R77" t="s">
        <v>23</v>
      </c>
      <c r="S77">
        <v>0</v>
      </c>
    </row>
    <row r="78" spans="1:19" x14ac:dyDescent="0.35">
      <c r="A78">
        <v>77</v>
      </c>
      <c r="B78">
        <v>1</v>
      </c>
      <c r="C78" t="s">
        <v>35</v>
      </c>
      <c r="D78">
        <v>2</v>
      </c>
      <c r="F78">
        <v>1</v>
      </c>
      <c r="G78">
        <v>1</v>
      </c>
      <c r="H78">
        <v>1</v>
      </c>
      <c r="I78" t="s">
        <v>81</v>
      </c>
      <c r="J78">
        <v>1</v>
      </c>
      <c r="K78">
        <v>1</v>
      </c>
      <c r="L78">
        <v>1</v>
      </c>
      <c r="M78">
        <v>2</v>
      </c>
      <c r="N78">
        <v>1</v>
      </c>
      <c r="O78">
        <v>1</v>
      </c>
      <c r="P78">
        <v>3</v>
      </c>
      <c r="Q78">
        <v>2</v>
      </c>
      <c r="R78" t="s">
        <v>33</v>
      </c>
      <c r="S78">
        <v>2</v>
      </c>
    </row>
    <row r="79" spans="1:19" x14ac:dyDescent="0.35">
      <c r="A79">
        <v>78</v>
      </c>
      <c r="B79">
        <v>1</v>
      </c>
      <c r="C79" t="s">
        <v>35</v>
      </c>
      <c r="D79">
        <v>2</v>
      </c>
      <c r="F79">
        <v>1</v>
      </c>
      <c r="G79">
        <v>1</v>
      </c>
      <c r="H79">
        <v>1</v>
      </c>
      <c r="I79" t="s">
        <v>80</v>
      </c>
      <c r="J79">
        <v>2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2</v>
      </c>
      <c r="R79" t="s">
        <v>23</v>
      </c>
      <c r="S79">
        <v>2</v>
      </c>
    </row>
    <row r="80" spans="1:19" x14ac:dyDescent="0.35">
      <c r="A80">
        <v>79</v>
      </c>
      <c r="B80">
        <v>2</v>
      </c>
      <c r="C80" t="s">
        <v>48</v>
      </c>
      <c r="D80">
        <v>2</v>
      </c>
      <c r="F80">
        <v>1</v>
      </c>
      <c r="G80">
        <v>1</v>
      </c>
      <c r="H80">
        <v>1</v>
      </c>
      <c r="I80" t="s">
        <v>80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8</v>
      </c>
      <c r="R80" t="s">
        <v>23</v>
      </c>
      <c r="S80">
        <v>2</v>
      </c>
    </row>
    <row r="81" spans="1:19" x14ac:dyDescent="0.35">
      <c r="A81">
        <v>80</v>
      </c>
      <c r="B81">
        <v>1</v>
      </c>
      <c r="C81" t="s">
        <v>35</v>
      </c>
      <c r="D81">
        <v>2</v>
      </c>
      <c r="F81">
        <v>1</v>
      </c>
      <c r="G81">
        <v>2</v>
      </c>
      <c r="H81">
        <v>0</v>
      </c>
      <c r="I81" t="s">
        <v>80</v>
      </c>
      <c r="J81">
        <v>2</v>
      </c>
      <c r="K81">
        <v>7</v>
      </c>
      <c r="L81">
        <v>2</v>
      </c>
      <c r="M81">
        <v>2</v>
      </c>
      <c r="N81">
        <v>2</v>
      </c>
      <c r="O81">
        <v>1</v>
      </c>
      <c r="P81">
        <v>1</v>
      </c>
      <c r="Q81">
        <v>1</v>
      </c>
      <c r="R81">
        <v>0</v>
      </c>
      <c r="S81">
        <v>0</v>
      </c>
    </row>
    <row r="82" spans="1:19" x14ac:dyDescent="0.35">
      <c r="A82">
        <v>81</v>
      </c>
      <c r="B82">
        <v>1</v>
      </c>
      <c r="C82" t="s">
        <v>44</v>
      </c>
      <c r="D82">
        <v>2</v>
      </c>
      <c r="F82">
        <v>1</v>
      </c>
      <c r="G82">
        <v>2</v>
      </c>
      <c r="H82">
        <v>2</v>
      </c>
      <c r="I82">
        <v>2</v>
      </c>
      <c r="J82">
        <v>1</v>
      </c>
      <c r="K82">
        <v>1</v>
      </c>
      <c r="L82">
        <v>1</v>
      </c>
      <c r="M82">
        <v>1</v>
      </c>
      <c r="N82">
        <v>2</v>
      </c>
      <c r="O82">
        <v>1</v>
      </c>
      <c r="P82">
        <v>1</v>
      </c>
      <c r="Q82">
        <v>2</v>
      </c>
      <c r="R82" t="s">
        <v>23</v>
      </c>
      <c r="S82">
        <v>2</v>
      </c>
    </row>
    <row r="83" spans="1:19" x14ac:dyDescent="0.35">
      <c r="A83">
        <v>82</v>
      </c>
      <c r="B83">
        <v>1</v>
      </c>
      <c r="C83" t="s">
        <v>35</v>
      </c>
      <c r="D83">
        <v>2</v>
      </c>
      <c r="F83">
        <v>1</v>
      </c>
      <c r="G83">
        <v>1</v>
      </c>
      <c r="H83">
        <v>1</v>
      </c>
      <c r="I83">
        <v>2</v>
      </c>
      <c r="J83">
        <v>2</v>
      </c>
      <c r="K83">
        <v>1</v>
      </c>
      <c r="L83">
        <v>1</v>
      </c>
      <c r="M83">
        <v>2</v>
      </c>
      <c r="N83">
        <v>1</v>
      </c>
      <c r="O83">
        <v>1</v>
      </c>
      <c r="P83">
        <v>1</v>
      </c>
      <c r="Q83">
        <v>2</v>
      </c>
      <c r="R83" t="s">
        <v>23</v>
      </c>
      <c r="S83">
        <v>2</v>
      </c>
    </row>
    <row r="84" spans="1:19" x14ac:dyDescent="0.35">
      <c r="A84">
        <v>83</v>
      </c>
      <c r="B84">
        <v>2</v>
      </c>
      <c r="C84" t="s">
        <v>34</v>
      </c>
      <c r="D84">
        <v>2</v>
      </c>
      <c r="F84">
        <v>1</v>
      </c>
      <c r="G84">
        <v>1</v>
      </c>
      <c r="H84">
        <v>1</v>
      </c>
      <c r="I84" t="s">
        <v>81</v>
      </c>
      <c r="J84">
        <v>1</v>
      </c>
      <c r="K84">
        <v>1</v>
      </c>
      <c r="L84">
        <v>2</v>
      </c>
      <c r="M84">
        <v>2</v>
      </c>
      <c r="N84">
        <v>1</v>
      </c>
      <c r="O84">
        <v>1</v>
      </c>
      <c r="P84">
        <v>1</v>
      </c>
      <c r="Q84">
        <v>2</v>
      </c>
      <c r="R84" t="s">
        <v>23</v>
      </c>
      <c r="S84">
        <v>2</v>
      </c>
    </row>
    <row r="85" spans="1:19" x14ac:dyDescent="0.35">
      <c r="A85">
        <v>84</v>
      </c>
      <c r="B85">
        <v>1</v>
      </c>
      <c r="C85" t="s">
        <v>34</v>
      </c>
      <c r="D85">
        <v>2</v>
      </c>
      <c r="F85">
        <v>1</v>
      </c>
      <c r="G85">
        <v>1</v>
      </c>
      <c r="H85">
        <v>1</v>
      </c>
      <c r="I85" t="s">
        <v>80</v>
      </c>
      <c r="J85">
        <v>2</v>
      </c>
      <c r="K85">
        <v>1</v>
      </c>
      <c r="L85">
        <v>1</v>
      </c>
      <c r="M85">
        <v>2</v>
      </c>
      <c r="N85">
        <v>1</v>
      </c>
      <c r="O85">
        <v>1</v>
      </c>
      <c r="P85">
        <v>1</v>
      </c>
      <c r="Q85">
        <v>2</v>
      </c>
      <c r="R85">
        <v>1</v>
      </c>
      <c r="S85">
        <v>2</v>
      </c>
    </row>
    <row r="86" spans="1:19" x14ac:dyDescent="0.35">
      <c r="A86">
        <v>85</v>
      </c>
      <c r="B86">
        <v>3</v>
      </c>
      <c r="C86" t="s">
        <v>49</v>
      </c>
      <c r="D86">
        <v>2</v>
      </c>
      <c r="F86">
        <v>1</v>
      </c>
      <c r="G86">
        <v>1</v>
      </c>
      <c r="H86">
        <v>1</v>
      </c>
      <c r="I86">
        <v>2</v>
      </c>
      <c r="J86">
        <v>2</v>
      </c>
      <c r="K86">
        <v>1</v>
      </c>
      <c r="L86">
        <v>1</v>
      </c>
      <c r="M86">
        <v>1</v>
      </c>
      <c r="N86">
        <v>2</v>
      </c>
      <c r="O86">
        <v>1</v>
      </c>
      <c r="P86">
        <v>1</v>
      </c>
      <c r="Q86">
        <v>2</v>
      </c>
      <c r="R86" t="s">
        <v>22</v>
      </c>
      <c r="S86" t="s">
        <v>28</v>
      </c>
    </row>
    <row r="87" spans="1:19" x14ac:dyDescent="0.35">
      <c r="A87">
        <v>86</v>
      </c>
      <c r="B87">
        <v>2</v>
      </c>
      <c r="C87" t="s">
        <v>50</v>
      </c>
      <c r="D87">
        <v>2</v>
      </c>
      <c r="F87">
        <v>1</v>
      </c>
      <c r="G87">
        <v>1</v>
      </c>
      <c r="H87">
        <v>1</v>
      </c>
      <c r="I87" t="s">
        <v>80</v>
      </c>
      <c r="J87">
        <v>2</v>
      </c>
      <c r="K87">
        <v>1</v>
      </c>
      <c r="L87">
        <v>1</v>
      </c>
      <c r="M87">
        <v>2</v>
      </c>
      <c r="N87">
        <v>2</v>
      </c>
      <c r="O87">
        <v>1</v>
      </c>
      <c r="P87">
        <v>1</v>
      </c>
      <c r="Q87">
        <v>3</v>
      </c>
      <c r="R87" t="s">
        <v>22</v>
      </c>
      <c r="S87" t="s">
        <v>51</v>
      </c>
    </row>
    <row r="88" spans="1:19" x14ac:dyDescent="0.35">
      <c r="A88">
        <v>87</v>
      </c>
      <c r="B88">
        <v>2</v>
      </c>
      <c r="C88" t="s">
        <v>34</v>
      </c>
      <c r="D88">
        <v>2</v>
      </c>
      <c r="F88">
        <v>1</v>
      </c>
      <c r="G88">
        <v>1</v>
      </c>
      <c r="H88">
        <v>0</v>
      </c>
      <c r="I88">
        <v>2</v>
      </c>
      <c r="J88">
        <v>2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2</v>
      </c>
      <c r="R88" t="s">
        <v>22</v>
      </c>
      <c r="S88">
        <v>2</v>
      </c>
    </row>
    <row r="89" spans="1:19" x14ac:dyDescent="0.35">
      <c r="A89">
        <v>88</v>
      </c>
      <c r="B89">
        <v>3</v>
      </c>
      <c r="C89" t="s">
        <v>34</v>
      </c>
      <c r="D89">
        <v>2</v>
      </c>
      <c r="F89">
        <v>1</v>
      </c>
      <c r="G89">
        <v>1</v>
      </c>
      <c r="H89">
        <v>1</v>
      </c>
      <c r="I89" t="s">
        <v>81</v>
      </c>
      <c r="J89">
        <v>1</v>
      </c>
      <c r="K89">
        <v>1</v>
      </c>
      <c r="L89">
        <v>1</v>
      </c>
      <c r="M89">
        <v>2</v>
      </c>
      <c r="N89">
        <v>1</v>
      </c>
      <c r="O89">
        <v>1</v>
      </c>
      <c r="P89">
        <v>1</v>
      </c>
      <c r="Q89">
        <v>8</v>
      </c>
      <c r="R89" t="s">
        <v>23</v>
      </c>
      <c r="S89">
        <v>0</v>
      </c>
    </row>
    <row r="90" spans="1:19" x14ac:dyDescent="0.35">
      <c r="A90">
        <v>89</v>
      </c>
      <c r="B90">
        <v>2</v>
      </c>
      <c r="C90" t="s">
        <v>52</v>
      </c>
      <c r="D90">
        <v>2</v>
      </c>
      <c r="F90">
        <v>1</v>
      </c>
      <c r="G90">
        <v>1</v>
      </c>
      <c r="H90">
        <v>1</v>
      </c>
      <c r="I90" t="s">
        <v>81</v>
      </c>
      <c r="J90">
        <v>1</v>
      </c>
      <c r="K90">
        <v>6</v>
      </c>
      <c r="L90">
        <v>1</v>
      </c>
      <c r="M90">
        <v>1</v>
      </c>
      <c r="N90">
        <v>2</v>
      </c>
      <c r="O90">
        <v>1</v>
      </c>
      <c r="P90">
        <v>1</v>
      </c>
      <c r="Q90">
        <v>2</v>
      </c>
      <c r="R90" t="s">
        <v>22</v>
      </c>
      <c r="S90" t="s">
        <v>53</v>
      </c>
    </row>
    <row r="91" spans="1:19" x14ac:dyDescent="0.35">
      <c r="A91">
        <v>90</v>
      </c>
      <c r="B91">
        <v>1</v>
      </c>
      <c r="C91" t="s">
        <v>35</v>
      </c>
      <c r="D91">
        <v>2</v>
      </c>
      <c r="F91">
        <v>1</v>
      </c>
      <c r="G91">
        <v>2</v>
      </c>
      <c r="H91">
        <v>0</v>
      </c>
      <c r="I91">
        <v>2</v>
      </c>
      <c r="J91">
        <v>2</v>
      </c>
      <c r="K91">
        <v>1</v>
      </c>
      <c r="L91">
        <v>1</v>
      </c>
      <c r="M91">
        <v>2</v>
      </c>
      <c r="N91">
        <v>0</v>
      </c>
      <c r="O91">
        <v>1</v>
      </c>
      <c r="P91">
        <v>0</v>
      </c>
      <c r="Q91">
        <v>0</v>
      </c>
      <c r="R91" t="s">
        <v>23</v>
      </c>
      <c r="S91">
        <v>2</v>
      </c>
    </row>
    <row r="92" spans="1:19" x14ac:dyDescent="0.35">
      <c r="A92">
        <v>91</v>
      </c>
      <c r="B92">
        <v>2</v>
      </c>
      <c r="C92" t="s">
        <v>34</v>
      </c>
      <c r="D92">
        <v>2</v>
      </c>
      <c r="F92">
        <v>1</v>
      </c>
      <c r="G92">
        <v>1</v>
      </c>
      <c r="H92">
        <v>0</v>
      </c>
      <c r="I92" t="s">
        <v>80</v>
      </c>
      <c r="J92">
        <v>2</v>
      </c>
      <c r="K92">
        <v>1</v>
      </c>
      <c r="L92">
        <v>1</v>
      </c>
      <c r="M92">
        <v>1</v>
      </c>
      <c r="N92">
        <v>1</v>
      </c>
      <c r="O92">
        <v>1</v>
      </c>
      <c r="P92">
        <v>3</v>
      </c>
      <c r="Q92">
        <v>3</v>
      </c>
      <c r="R92">
        <v>0</v>
      </c>
      <c r="S92">
        <v>0</v>
      </c>
    </row>
    <row r="93" spans="1:19" x14ac:dyDescent="0.35">
      <c r="A93">
        <v>92</v>
      </c>
      <c r="B93">
        <v>3</v>
      </c>
      <c r="C93" t="s">
        <v>48</v>
      </c>
      <c r="D93">
        <v>2</v>
      </c>
      <c r="F93">
        <v>1</v>
      </c>
      <c r="G93">
        <v>2</v>
      </c>
      <c r="H93">
        <v>2</v>
      </c>
      <c r="I93" t="s">
        <v>80</v>
      </c>
      <c r="J93">
        <v>2</v>
      </c>
      <c r="K93">
        <v>1</v>
      </c>
      <c r="L93">
        <v>2</v>
      </c>
      <c r="M93">
        <v>2</v>
      </c>
      <c r="N93">
        <v>1</v>
      </c>
      <c r="O93">
        <v>3</v>
      </c>
      <c r="P93">
        <v>3</v>
      </c>
      <c r="Q93">
        <v>3</v>
      </c>
      <c r="R93">
        <v>2</v>
      </c>
      <c r="S93">
        <v>2</v>
      </c>
    </row>
    <row r="94" spans="1:19" x14ac:dyDescent="0.35">
      <c r="A94">
        <v>93</v>
      </c>
      <c r="B94">
        <v>2</v>
      </c>
      <c r="C94" t="s">
        <v>54</v>
      </c>
      <c r="D94">
        <v>2</v>
      </c>
      <c r="F94">
        <v>1</v>
      </c>
      <c r="G94">
        <v>1</v>
      </c>
      <c r="H94">
        <v>1</v>
      </c>
      <c r="I94" t="s">
        <v>80</v>
      </c>
      <c r="J94">
        <v>2</v>
      </c>
      <c r="K94">
        <v>1</v>
      </c>
      <c r="L94">
        <v>1</v>
      </c>
      <c r="M94">
        <v>2</v>
      </c>
      <c r="N94">
        <v>1</v>
      </c>
      <c r="O94">
        <v>1</v>
      </c>
      <c r="P94">
        <v>1</v>
      </c>
      <c r="Q94">
        <v>2</v>
      </c>
      <c r="R94" t="s">
        <v>30</v>
      </c>
      <c r="S94">
        <v>2</v>
      </c>
    </row>
    <row r="95" spans="1:19" x14ac:dyDescent="0.35">
      <c r="A95">
        <v>94</v>
      </c>
      <c r="B95">
        <v>3</v>
      </c>
      <c r="C95" t="s">
        <v>35</v>
      </c>
      <c r="D95">
        <v>2</v>
      </c>
      <c r="F95">
        <v>1</v>
      </c>
      <c r="G95">
        <v>1</v>
      </c>
      <c r="H95">
        <v>1</v>
      </c>
      <c r="I95" t="s">
        <v>80</v>
      </c>
      <c r="J95">
        <v>2</v>
      </c>
      <c r="K95">
        <v>1</v>
      </c>
      <c r="L95">
        <v>1</v>
      </c>
      <c r="M95">
        <v>2</v>
      </c>
      <c r="N95">
        <v>1</v>
      </c>
      <c r="O95">
        <v>1</v>
      </c>
      <c r="P95">
        <v>3</v>
      </c>
      <c r="Q95">
        <v>3</v>
      </c>
      <c r="R95" t="s">
        <v>22</v>
      </c>
      <c r="S95">
        <v>2</v>
      </c>
    </row>
    <row r="96" spans="1:19" x14ac:dyDescent="0.35">
      <c r="A96">
        <v>95</v>
      </c>
      <c r="B96">
        <v>1</v>
      </c>
      <c r="C96" t="s">
        <v>55</v>
      </c>
      <c r="D96">
        <v>2</v>
      </c>
      <c r="F96">
        <v>1</v>
      </c>
      <c r="G96">
        <v>1</v>
      </c>
      <c r="H96">
        <v>1</v>
      </c>
      <c r="I96" t="s">
        <v>81</v>
      </c>
      <c r="J96">
        <v>2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2</v>
      </c>
      <c r="R96">
        <v>1</v>
      </c>
      <c r="S96">
        <v>2</v>
      </c>
    </row>
    <row r="97" spans="1:19" x14ac:dyDescent="0.35">
      <c r="A97">
        <v>96</v>
      </c>
      <c r="B97">
        <v>3</v>
      </c>
      <c r="C97" t="s">
        <v>48</v>
      </c>
      <c r="D97">
        <v>2</v>
      </c>
      <c r="F97">
        <v>1</v>
      </c>
      <c r="G97">
        <v>1</v>
      </c>
      <c r="H97">
        <v>1</v>
      </c>
      <c r="I97">
        <v>2</v>
      </c>
      <c r="J97">
        <v>2</v>
      </c>
      <c r="K97">
        <v>1</v>
      </c>
      <c r="L97">
        <v>1</v>
      </c>
      <c r="M97">
        <v>2</v>
      </c>
      <c r="N97">
        <v>1</v>
      </c>
      <c r="O97">
        <v>1</v>
      </c>
      <c r="P97">
        <v>1</v>
      </c>
      <c r="Q97">
        <v>8</v>
      </c>
      <c r="R97" t="s">
        <v>31</v>
      </c>
      <c r="S97">
        <v>2</v>
      </c>
    </row>
    <row r="98" spans="1:19" x14ac:dyDescent="0.35">
      <c r="A98">
        <v>97</v>
      </c>
      <c r="B98">
        <v>2</v>
      </c>
      <c r="C98" t="s">
        <v>56</v>
      </c>
      <c r="D98">
        <v>2</v>
      </c>
      <c r="F98">
        <v>1</v>
      </c>
      <c r="G98">
        <v>1</v>
      </c>
      <c r="H98">
        <v>1</v>
      </c>
      <c r="I98" t="s">
        <v>81</v>
      </c>
      <c r="J98">
        <v>2</v>
      </c>
      <c r="K98">
        <v>1</v>
      </c>
      <c r="L98">
        <v>1</v>
      </c>
      <c r="M98">
        <v>1</v>
      </c>
      <c r="N98">
        <v>2</v>
      </c>
      <c r="O98">
        <v>1</v>
      </c>
      <c r="P98">
        <v>3</v>
      </c>
      <c r="Q98">
        <v>1</v>
      </c>
      <c r="R98" t="s">
        <v>57</v>
      </c>
      <c r="S98">
        <v>2</v>
      </c>
    </row>
    <row r="99" spans="1:19" x14ac:dyDescent="0.35">
      <c r="A99">
        <v>98</v>
      </c>
      <c r="B99">
        <v>3</v>
      </c>
      <c r="C99" t="s">
        <v>35</v>
      </c>
      <c r="D99">
        <v>2</v>
      </c>
      <c r="F99">
        <v>1</v>
      </c>
      <c r="G99">
        <v>1</v>
      </c>
      <c r="H99">
        <v>1</v>
      </c>
      <c r="I99" t="s">
        <v>80</v>
      </c>
      <c r="J99">
        <v>2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 t="s">
        <v>23</v>
      </c>
      <c r="S99">
        <v>2</v>
      </c>
    </row>
    <row r="100" spans="1:19" x14ac:dyDescent="0.35">
      <c r="A100">
        <v>99</v>
      </c>
      <c r="B100">
        <v>3</v>
      </c>
      <c r="C100" t="s">
        <v>52</v>
      </c>
      <c r="D100">
        <v>2</v>
      </c>
      <c r="F100">
        <v>1</v>
      </c>
      <c r="G100">
        <v>1</v>
      </c>
      <c r="H100">
        <v>1</v>
      </c>
      <c r="I100" t="s">
        <v>80</v>
      </c>
      <c r="J100">
        <v>2</v>
      </c>
      <c r="K100">
        <v>1</v>
      </c>
      <c r="L100">
        <v>1</v>
      </c>
      <c r="M100">
        <v>2</v>
      </c>
      <c r="N100">
        <v>2</v>
      </c>
      <c r="O100">
        <v>1</v>
      </c>
      <c r="P100">
        <v>3</v>
      </c>
      <c r="Q100">
        <v>2</v>
      </c>
      <c r="R100" t="s">
        <v>20</v>
      </c>
      <c r="S100" t="s">
        <v>58</v>
      </c>
    </row>
    <row r="101" spans="1:19" x14ac:dyDescent="0.35">
      <c r="A101">
        <v>100</v>
      </c>
      <c r="B101">
        <v>1</v>
      </c>
      <c r="C101" t="s">
        <v>34</v>
      </c>
      <c r="D101">
        <v>2</v>
      </c>
      <c r="F101">
        <v>1</v>
      </c>
      <c r="G101">
        <v>2</v>
      </c>
      <c r="H101">
        <v>1</v>
      </c>
      <c r="I101" t="s">
        <v>81</v>
      </c>
      <c r="J101">
        <v>1</v>
      </c>
      <c r="K101">
        <v>1</v>
      </c>
      <c r="L101">
        <v>2</v>
      </c>
      <c r="M101">
        <v>2</v>
      </c>
      <c r="N101">
        <v>1</v>
      </c>
      <c r="O101">
        <v>1</v>
      </c>
      <c r="P101">
        <v>1</v>
      </c>
      <c r="Q101">
        <v>2</v>
      </c>
      <c r="R101" t="s">
        <v>59</v>
      </c>
      <c r="S101" t="s">
        <v>38</v>
      </c>
    </row>
    <row r="102" spans="1:19" x14ac:dyDescent="0.35">
      <c r="A102">
        <v>101</v>
      </c>
      <c r="B102">
        <v>3</v>
      </c>
      <c r="C102" t="s">
        <v>34</v>
      </c>
      <c r="D102">
        <v>2</v>
      </c>
      <c r="F102">
        <v>1</v>
      </c>
      <c r="G102">
        <v>1</v>
      </c>
      <c r="H102">
        <v>1</v>
      </c>
      <c r="I102" t="s">
        <v>80</v>
      </c>
      <c r="J102">
        <v>1</v>
      </c>
      <c r="K102">
        <v>5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2</v>
      </c>
      <c r="R102" t="s">
        <v>23</v>
      </c>
      <c r="S102">
        <v>2</v>
      </c>
    </row>
    <row r="103" spans="1:19" x14ac:dyDescent="0.35">
      <c r="A103">
        <v>102</v>
      </c>
      <c r="B103">
        <v>1</v>
      </c>
      <c r="C103" t="s">
        <v>34</v>
      </c>
      <c r="D103">
        <v>2</v>
      </c>
      <c r="F103">
        <v>1</v>
      </c>
      <c r="G103">
        <v>1</v>
      </c>
      <c r="H103">
        <v>1</v>
      </c>
      <c r="I103">
        <v>2</v>
      </c>
      <c r="J103">
        <v>1</v>
      </c>
      <c r="K103">
        <v>1</v>
      </c>
      <c r="L103">
        <v>1</v>
      </c>
      <c r="M103">
        <v>2</v>
      </c>
      <c r="N103">
        <v>1</v>
      </c>
      <c r="O103">
        <v>1</v>
      </c>
      <c r="P103">
        <v>1</v>
      </c>
      <c r="Q103">
        <v>5</v>
      </c>
      <c r="R103" t="s">
        <v>67</v>
      </c>
      <c r="S103">
        <v>2</v>
      </c>
    </row>
    <row r="104" spans="1:19" x14ac:dyDescent="0.35">
      <c r="A104">
        <v>103</v>
      </c>
      <c r="B104">
        <v>2</v>
      </c>
      <c r="C104" t="s">
        <v>35</v>
      </c>
      <c r="D104">
        <v>2</v>
      </c>
      <c r="F104">
        <v>1</v>
      </c>
      <c r="G104">
        <v>1</v>
      </c>
      <c r="H104">
        <v>1</v>
      </c>
      <c r="I104" t="s">
        <v>80</v>
      </c>
      <c r="J104">
        <v>1</v>
      </c>
      <c r="K104">
        <v>1</v>
      </c>
      <c r="L104">
        <v>2</v>
      </c>
      <c r="M104">
        <v>1</v>
      </c>
      <c r="N104">
        <v>1</v>
      </c>
      <c r="O104">
        <v>3</v>
      </c>
      <c r="P104">
        <v>3</v>
      </c>
      <c r="Q104">
        <v>3</v>
      </c>
      <c r="R104" t="s">
        <v>22</v>
      </c>
      <c r="S104" t="s">
        <v>19</v>
      </c>
    </row>
    <row r="105" spans="1:19" x14ac:dyDescent="0.35">
      <c r="A105">
        <v>104</v>
      </c>
      <c r="B105">
        <v>1</v>
      </c>
      <c r="C105" t="s">
        <v>35</v>
      </c>
      <c r="D105">
        <v>2</v>
      </c>
      <c r="F105">
        <v>1</v>
      </c>
      <c r="G105">
        <v>1</v>
      </c>
      <c r="H105">
        <v>1</v>
      </c>
      <c r="I105">
        <v>2</v>
      </c>
      <c r="J105">
        <v>2</v>
      </c>
      <c r="K105">
        <v>1</v>
      </c>
      <c r="L105">
        <v>1</v>
      </c>
      <c r="M105">
        <v>1</v>
      </c>
      <c r="N105">
        <v>2</v>
      </c>
      <c r="O105">
        <v>1</v>
      </c>
      <c r="P105">
        <v>1</v>
      </c>
      <c r="Q105">
        <v>2</v>
      </c>
      <c r="R105" t="s">
        <v>22</v>
      </c>
      <c r="S105">
        <v>2</v>
      </c>
    </row>
    <row r="106" spans="1:19" x14ac:dyDescent="0.35">
      <c r="A106">
        <v>105</v>
      </c>
      <c r="B106">
        <v>2</v>
      </c>
      <c r="C106" t="s">
        <v>34</v>
      </c>
      <c r="D106">
        <v>2</v>
      </c>
      <c r="F106">
        <v>1</v>
      </c>
      <c r="G106">
        <v>1</v>
      </c>
      <c r="H106">
        <v>2</v>
      </c>
      <c r="I106">
        <v>3</v>
      </c>
      <c r="J106">
        <v>2</v>
      </c>
      <c r="K106">
        <v>1</v>
      </c>
      <c r="L106">
        <v>2</v>
      </c>
      <c r="M106">
        <v>1</v>
      </c>
      <c r="N106">
        <v>2</v>
      </c>
      <c r="O106">
        <v>1</v>
      </c>
      <c r="P106">
        <v>0</v>
      </c>
      <c r="Q106">
        <v>2</v>
      </c>
      <c r="R106">
        <v>2</v>
      </c>
      <c r="S106">
        <v>2</v>
      </c>
    </row>
    <row r="107" spans="1:19" x14ac:dyDescent="0.35">
      <c r="A107">
        <v>106</v>
      </c>
      <c r="B107">
        <v>1</v>
      </c>
      <c r="C107" t="s">
        <v>35</v>
      </c>
      <c r="D107">
        <v>2</v>
      </c>
      <c r="F107">
        <v>1</v>
      </c>
      <c r="G107">
        <v>3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 x14ac:dyDescent="0.35">
      <c r="A108">
        <v>107</v>
      </c>
      <c r="B108">
        <v>1</v>
      </c>
      <c r="C108" t="s">
        <v>35</v>
      </c>
      <c r="D108">
        <v>2</v>
      </c>
      <c r="F108">
        <v>1</v>
      </c>
      <c r="G108">
        <v>2</v>
      </c>
      <c r="H108">
        <v>2</v>
      </c>
      <c r="I108">
        <v>0</v>
      </c>
      <c r="J108">
        <v>1</v>
      </c>
      <c r="K108">
        <v>1</v>
      </c>
      <c r="L108">
        <v>2</v>
      </c>
      <c r="M108">
        <v>1</v>
      </c>
      <c r="N108">
        <v>0</v>
      </c>
      <c r="O108">
        <v>0</v>
      </c>
      <c r="P108">
        <v>1</v>
      </c>
      <c r="Q108">
        <v>1</v>
      </c>
      <c r="R108" t="s">
        <v>22</v>
      </c>
      <c r="S108" t="s">
        <v>60</v>
      </c>
    </row>
    <row r="109" spans="1:19" x14ac:dyDescent="0.35">
      <c r="A109">
        <v>108</v>
      </c>
      <c r="B109">
        <v>1</v>
      </c>
      <c r="C109" t="s">
        <v>35</v>
      </c>
      <c r="D109">
        <v>2</v>
      </c>
      <c r="F109">
        <v>1</v>
      </c>
      <c r="G109">
        <v>2</v>
      </c>
      <c r="H109">
        <v>0</v>
      </c>
      <c r="I109" t="s">
        <v>80</v>
      </c>
      <c r="J109">
        <v>2</v>
      </c>
      <c r="K109">
        <v>1</v>
      </c>
      <c r="L109">
        <v>2</v>
      </c>
      <c r="M109">
        <v>2</v>
      </c>
      <c r="N109">
        <v>1</v>
      </c>
      <c r="O109">
        <v>1</v>
      </c>
      <c r="P109">
        <v>1</v>
      </c>
      <c r="Q109">
        <v>1</v>
      </c>
      <c r="R109">
        <v>0</v>
      </c>
      <c r="S109">
        <v>0</v>
      </c>
    </row>
    <row r="110" spans="1:19" x14ac:dyDescent="0.35">
      <c r="A110">
        <v>109</v>
      </c>
      <c r="B110">
        <v>1</v>
      </c>
      <c r="C110" t="s">
        <v>34</v>
      </c>
      <c r="D110">
        <v>2</v>
      </c>
      <c r="F110">
        <v>1</v>
      </c>
      <c r="G110">
        <v>1</v>
      </c>
      <c r="H110">
        <v>1</v>
      </c>
      <c r="I110">
        <v>2</v>
      </c>
      <c r="J110">
        <v>1</v>
      </c>
      <c r="K110">
        <v>1</v>
      </c>
      <c r="L110">
        <v>1</v>
      </c>
      <c r="M110">
        <v>2</v>
      </c>
      <c r="N110">
        <v>1</v>
      </c>
      <c r="O110">
        <v>1</v>
      </c>
      <c r="P110">
        <v>0</v>
      </c>
      <c r="Q110">
        <v>2</v>
      </c>
      <c r="R110" t="s">
        <v>33</v>
      </c>
      <c r="S110" t="s">
        <v>61</v>
      </c>
    </row>
    <row r="111" spans="1:19" x14ac:dyDescent="0.35">
      <c r="A111">
        <v>110</v>
      </c>
      <c r="B111">
        <v>2</v>
      </c>
      <c r="C111" t="s">
        <v>34</v>
      </c>
      <c r="D111">
        <v>2</v>
      </c>
      <c r="F111">
        <v>1</v>
      </c>
      <c r="G111">
        <v>1</v>
      </c>
      <c r="H111">
        <v>2</v>
      </c>
      <c r="I111">
        <v>2</v>
      </c>
      <c r="J111">
        <v>2</v>
      </c>
      <c r="K111">
        <v>1</v>
      </c>
      <c r="L111">
        <v>1</v>
      </c>
      <c r="M111">
        <v>2</v>
      </c>
      <c r="N111">
        <v>1</v>
      </c>
      <c r="O111">
        <v>1</v>
      </c>
      <c r="P111">
        <v>3</v>
      </c>
      <c r="Q111">
        <v>2</v>
      </c>
      <c r="R111" t="s">
        <v>62</v>
      </c>
      <c r="S111">
        <v>2</v>
      </c>
    </row>
    <row r="112" spans="1:19" x14ac:dyDescent="0.35">
      <c r="A112">
        <v>111</v>
      </c>
      <c r="B112">
        <v>1</v>
      </c>
      <c r="C112" t="s">
        <v>35</v>
      </c>
      <c r="D112">
        <v>2</v>
      </c>
      <c r="F112">
        <v>1</v>
      </c>
      <c r="G112">
        <v>1</v>
      </c>
      <c r="H112">
        <v>1</v>
      </c>
      <c r="I112" t="s">
        <v>80</v>
      </c>
      <c r="J112">
        <v>2</v>
      </c>
      <c r="K112">
        <v>1</v>
      </c>
      <c r="L112">
        <v>1</v>
      </c>
      <c r="M112">
        <v>1</v>
      </c>
      <c r="N112">
        <v>2</v>
      </c>
      <c r="O112">
        <v>1</v>
      </c>
      <c r="P112">
        <v>1</v>
      </c>
      <c r="Q112">
        <v>2</v>
      </c>
      <c r="R112" t="s">
        <v>23</v>
      </c>
      <c r="S112">
        <v>1</v>
      </c>
    </row>
    <row r="113" spans="1:19" x14ac:dyDescent="0.35">
      <c r="A113">
        <v>112</v>
      </c>
      <c r="B113">
        <v>1</v>
      </c>
      <c r="C113" t="s">
        <v>35</v>
      </c>
      <c r="D113">
        <v>2</v>
      </c>
      <c r="F113">
        <v>1</v>
      </c>
      <c r="G113">
        <v>1</v>
      </c>
      <c r="H113">
        <v>1</v>
      </c>
      <c r="I113" t="s">
        <v>81</v>
      </c>
      <c r="J113">
        <v>2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3</v>
      </c>
      <c r="Q113">
        <v>3</v>
      </c>
      <c r="R113" t="s">
        <v>33</v>
      </c>
      <c r="S113" t="s">
        <v>57</v>
      </c>
    </row>
    <row r="114" spans="1:19" x14ac:dyDescent="0.35">
      <c r="A114">
        <v>113</v>
      </c>
      <c r="B114">
        <v>1</v>
      </c>
      <c r="C114" t="s">
        <v>35</v>
      </c>
      <c r="D114">
        <v>2</v>
      </c>
      <c r="F114">
        <v>1</v>
      </c>
      <c r="G114">
        <v>1</v>
      </c>
      <c r="H114">
        <v>1</v>
      </c>
      <c r="I114" t="s">
        <v>81</v>
      </c>
      <c r="J114">
        <v>1</v>
      </c>
      <c r="K114">
        <v>1</v>
      </c>
      <c r="L114">
        <v>1</v>
      </c>
      <c r="M114">
        <v>2</v>
      </c>
      <c r="N114">
        <v>1</v>
      </c>
      <c r="O114">
        <v>1</v>
      </c>
      <c r="P114">
        <v>1</v>
      </c>
      <c r="Q114">
        <v>8</v>
      </c>
      <c r="R114" t="s">
        <v>23</v>
      </c>
      <c r="S114">
        <v>2</v>
      </c>
    </row>
    <row r="115" spans="1:19" x14ac:dyDescent="0.35">
      <c r="A115">
        <v>114</v>
      </c>
      <c r="B115">
        <v>1</v>
      </c>
      <c r="C115" t="s">
        <v>35</v>
      </c>
      <c r="D115">
        <v>2</v>
      </c>
      <c r="F115">
        <v>1</v>
      </c>
      <c r="G115">
        <v>3</v>
      </c>
      <c r="H115">
        <v>0</v>
      </c>
      <c r="I115">
        <v>3</v>
      </c>
      <c r="J115">
        <v>3</v>
      </c>
      <c r="K115">
        <v>3</v>
      </c>
      <c r="L115">
        <v>3</v>
      </c>
      <c r="M115">
        <v>3</v>
      </c>
      <c r="N115">
        <v>3</v>
      </c>
      <c r="O115">
        <v>3</v>
      </c>
      <c r="P115">
        <v>3</v>
      </c>
      <c r="Q115">
        <v>3</v>
      </c>
      <c r="R115">
        <v>0</v>
      </c>
      <c r="S115">
        <v>0</v>
      </c>
    </row>
    <row r="116" spans="1:19" x14ac:dyDescent="0.35">
      <c r="A116">
        <v>115</v>
      </c>
      <c r="B116">
        <v>2</v>
      </c>
      <c r="C116" t="s">
        <v>34</v>
      </c>
      <c r="D116">
        <v>0</v>
      </c>
      <c r="F116">
        <v>1</v>
      </c>
      <c r="G116">
        <v>1</v>
      </c>
      <c r="H116">
        <v>0</v>
      </c>
      <c r="I116" t="s">
        <v>80</v>
      </c>
      <c r="J116">
        <v>2</v>
      </c>
      <c r="K116">
        <v>1</v>
      </c>
      <c r="L116">
        <v>1</v>
      </c>
      <c r="M116">
        <v>2</v>
      </c>
      <c r="N116">
        <v>1</v>
      </c>
      <c r="O116">
        <v>1</v>
      </c>
      <c r="P116">
        <v>0</v>
      </c>
      <c r="Q116">
        <v>2</v>
      </c>
      <c r="R116" t="s">
        <v>23</v>
      </c>
      <c r="S116">
        <v>2</v>
      </c>
    </row>
    <row r="117" spans="1:19" x14ac:dyDescent="0.35">
      <c r="A117">
        <v>116</v>
      </c>
      <c r="B117">
        <v>3</v>
      </c>
      <c r="C117" t="s">
        <v>35</v>
      </c>
      <c r="D117">
        <v>2</v>
      </c>
      <c r="F117">
        <v>1</v>
      </c>
      <c r="G117">
        <v>1</v>
      </c>
      <c r="H117">
        <v>1</v>
      </c>
      <c r="I117">
        <v>2</v>
      </c>
      <c r="J117">
        <v>2</v>
      </c>
      <c r="K117">
        <v>1</v>
      </c>
      <c r="L117">
        <v>1</v>
      </c>
      <c r="M117">
        <v>2</v>
      </c>
      <c r="N117">
        <v>1</v>
      </c>
      <c r="O117">
        <v>1</v>
      </c>
      <c r="P117">
        <v>0</v>
      </c>
      <c r="Q117">
        <v>2</v>
      </c>
      <c r="R117" t="s">
        <v>62</v>
      </c>
      <c r="S117">
        <v>0</v>
      </c>
    </row>
    <row r="118" spans="1:19" x14ac:dyDescent="0.35">
      <c r="A118">
        <v>117</v>
      </c>
      <c r="B118">
        <v>2</v>
      </c>
      <c r="C118" t="s">
        <v>34</v>
      </c>
      <c r="D118">
        <v>2</v>
      </c>
      <c r="F118">
        <v>1</v>
      </c>
      <c r="G118">
        <v>1</v>
      </c>
      <c r="H118">
        <v>1</v>
      </c>
      <c r="I118">
        <v>2</v>
      </c>
      <c r="J118">
        <v>1</v>
      </c>
      <c r="K118">
        <v>1</v>
      </c>
      <c r="L118">
        <v>1</v>
      </c>
      <c r="M118">
        <v>2</v>
      </c>
      <c r="N118">
        <v>1</v>
      </c>
      <c r="O118">
        <v>1</v>
      </c>
      <c r="P118">
        <v>1</v>
      </c>
      <c r="Q118">
        <v>8</v>
      </c>
      <c r="R118" t="s">
        <v>23</v>
      </c>
      <c r="S118" t="s">
        <v>21</v>
      </c>
    </row>
    <row r="119" spans="1:19" x14ac:dyDescent="0.35">
      <c r="A119">
        <v>118</v>
      </c>
      <c r="B119">
        <v>2</v>
      </c>
      <c r="C119" t="s">
        <v>35</v>
      </c>
      <c r="D119">
        <v>0</v>
      </c>
      <c r="F119">
        <v>1</v>
      </c>
      <c r="G119">
        <v>1</v>
      </c>
      <c r="H119">
        <v>1</v>
      </c>
      <c r="I119" t="s">
        <v>81</v>
      </c>
      <c r="J119">
        <v>1</v>
      </c>
      <c r="K119">
        <v>1</v>
      </c>
      <c r="L119">
        <v>2</v>
      </c>
      <c r="M119">
        <v>1</v>
      </c>
      <c r="N119">
        <v>2</v>
      </c>
      <c r="O119">
        <v>1</v>
      </c>
      <c r="P119">
        <v>1</v>
      </c>
      <c r="Q119">
        <v>2</v>
      </c>
      <c r="R119" t="s">
        <v>23</v>
      </c>
      <c r="S119">
        <v>0</v>
      </c>
    </row>
    <row r="120" spans="1:19" x14ac:dyDescent="0.35">
      <c r="A120">
        <v>119</v>
      </c>
      <c r="B120">
        <v>1</v>
      </c>
      <c r="C120" t="s">
        <v>34</v>
      </c>
      <c r="D120">
        <v>2</v>
      </c>
      <c r="F120">
        <v>1</v>
      </c>
      <c r="G120">
        <v>2</v>
      </c>
      <c r="H120">
        <v>2</v>
      </c>
      <c r="I120">
        <v>2</v>
      </c>
      <c r="J120">
        <v>2</v>
      </c>
      <c r="K120">
        <v>1</v>
      </c>
      <c r="L120">
        <v>2</v>
      </c>
      <c r="M120">
        <v>2</v>
      </c>
      <c r="N120">
        <v>2</v>
      </c>
      <c r="O120">
        <v>1</v>
      </c>
      <c r="P120">
        <v>1</v>
      </c>
      <c r="Q120">
        <v>1</v>
      </c>
      <c r="R120" t="s">
        <v>23</v>
      </c>
      <c r="S120">
        <v>0</v>
      </c>
    </row>
    <row r="121" spans="1:19" x14ac:dyDescent="0.35">
      <c r="A121">
        <v>120</v>
      </c>
      <c r="B121">
        <v>1</v>
      </c>
      <c r="C121" t="s">
        <v>34</v>
      </c>
      <c r="D121">
        <v>2</v>
      </c>
      <c r="F121">
        <v>1</v>
      </c>
      <c r="G121">
        <v>1</v>
      </c>
      <c r="H121">
        <v>1</v>
      </c>
      <c r="I121">
        <v>2</v>
      </c>
      <c r="J121">
        <v>1</v>
      </c>
      <c r="K121">
        <v>3</v>
      </c>
      <c r="L121">
        <v>1</v>
      </c>
      <c r="M121">
        <v>3</v>
      </c>
      <c r="N121">
        <v>3</v>
      </c>
      <c r="O121">
        <v>3</v>
      </c>
      <c r="P121">
        <v>3</v>
      </c>
      <c r="Q121">
        <v>3</v>
      </c>
      <c r="R121" t="s">
        <v>23</v>
      </c>
      <c r="S121">
        <v>2</v>
      </c>
    </row>
    <row r="122" spans="1:19" x14ac:dyDescent="0.35">
      <c r="A122">
        <v>121</v>
      </c>
      <c r="B122">
        <v>1</v>
      </c>
      <c r="C122" t="s">
        <v>34</v>
      </c>
      <c r="D122">
        <v>2</v>
      </c>
      <c r="F122">
        <v>1</v>
      </c>
      <c r="G122">
        <v>2</v>
      </c>
      <c r="H122">
        <v>0</v>
      </c>
      <c r="I122" t="s">
        <v>80</v>
      </c>
      <c r="J122">
        <v>1</v>
      </c>
      <c r="K122">
        <v>1</v>
      </c>
      <c r="L122">
        <v>2</v>
      </c>
      <c r="M122">
        <v>2</v>
      </c>
      <c r="N122">
        <v>1</v>
      </c>
      <c r="O122">
        <v>1</v>
      </c>
      <c r="P122">
        <v>3</v>
      </c>
      <c r="Q122">
        <v>1</v>
      </c>
      <c r="R122">
        <v>2</v>
      </c>
      <c r="S122">
        <v>0</v>
      </c>
    </row>
    <row r="123" spans="1:19" x14ac:dyDescent="0.35">
      <c r="A123">
        <v>122</v>
      </c>
      <c r="B123">
        <v>1</v>
      </c>
      <c r="C123" t="s">
        <v>35</v>
      </c>
      <c r="D123">
        <v>2</v>
      </c>
      <c r="F123">
        <v>1</v>
      </c>
      <c r="G123">
        <v>1</v>
      </c>
      <c r="H123">
        <v>1</v>
      </c>
      <c r="I123" t="s">
        <v>80</v>
      </c>
      <c r="J123">
        <v>1</v>
      </c>
      <c r="K123">
        <v>1</v>
      </c>
      <c r="L123">
        <v>1</v>
      </c>
      <c r="M123">
        <v>2</v>
      </c>
      <c r="N123">
        <v>1</v>
      </c>
      <c r="O123">
        <v>1</v>
      </c>
      <c r="P123">
        <v>1</v>
      </c>
      <c r="Q123">
        <v>3</v>
      </c>
      <c r="R123" t="s">
        <v>32</v>
      </c>
      <c r="S123">
        <v>2</v>
      </c>
    </row>
    <row r="124" spans="1:19" x14ac:dyDescent="0.35">
      <c r="A124">
        <v>123</v>
      </c>
      <c r="B124">
        <v>1</v>
      </c>
      <c r="C124" t="s">
        <v>34</v>
      </c>
      <c r="D124">
        <v>2</v>
      </c>
      <c r="F124">
        <v>1</v>
      </c>
      <c r="G124">
        <v>2</v>
      </c>
      <c r="H124">
        <v>2</v>
      </c>
      <c r="I124">
        <v>2</v>
      </c>
      <c r="J124">
        <v>1</v>
      </c>
      <c r="K124">
        <v>1</v>
      </c>
      <c r="L124">
        <v>2</v>
      </c>
      <c r="M124">
        <v>2</v>
      </c>
      <c r="N124">
        <v>1</v>
      </c>
      <c r="O124">
        <v>1</v>
      </c>
      <c r="P124">
        <v>3</v>
      </c>
      <c r="Q124">
        <v>2</v>
      </c>
      <c r="R124" t="s">
        <v>23</v>
      </c>
      <c r="S124">
        <v>2</v>
      </c>
    </row>
    <row r="125" spans="1:19" x14ac:dyDescent="0.35">
      <c r="A125">
        <v>124</v>
      </c>
      <c r="B125">
        <v>1</v>
      </c>
      <c r="C125" t="s">
        <v>34</v>
      </c>
      <c r="D125">
        <v>0</v>
      </c>
      <c r="F125">
        <v>1</v>
      </c>
      <c r="G125">
        <v>0</v>
      </c>
      <c r="H125">
        <v>0</v>
      </c>
      <c r="I125">
        <v>3</v>
      </c>
      <c r="J125">
        <v>2</v>
      </c>
      <c r="K125">
        <v>3</v>
      </c>
      <c r="L125">
        <v>3</v>
      </c>
      <c r="M125">
        <v>2</v>
      </c>
      <c r="N125">
        <v>3</v>
      </c>
      <c r="O125" t="s">
        <v>63</v>
      </c>
      <c r="P125">
        <v>3</v>
      </c>
      <c r="Q125">
        <v>3</v>
      </c>
      <c r="R125">
        <v>0</v>
      </c>
      <c r="S125">
        <v>0</v>
      </c>
    </row>
    <row r="126" spans="1:19" x14ac:dyDescent="0.35">
      <c r="A126">
        <v>125</v>
      </c>
      <c r="B126">
        <v>2</v>
      </c>
      <c r="C126" t="s">
        <v>34</v>
      </c>
      <c r="D126">
        <v>2</v>
      </c>
      <c r="F126">
        <v>1</v>
      </c>
      <c r="G126">
        <v>1</v>
      </c>
      <c r="H126">
        <v>1</v>
      </c>
      <c r="I126">
        <v>2</v>
      </c>
      <c r="J126">
        <v>1</v>
      </c>
      <c r="K126">
        <v>1</v>
      </c>
      <c r="L126">
        <v>1</v>
      </c>
      <c r="M126">
        <v>2</v>
      </c>
      <c r="N126">
        <v>1</v>
      </c>
      <c r="O126">
        <v>1</v>
      </c>
      <c r="P126">
        <v>1</v>
      </c>
      <c r="Q126">
        <v>2</v>
      </c>
      <c r="R126" t="s">
        <v>23</v>
      </c>
      <c r="S126">
        <v>2</v>
      </c>
    </row>
    <row r="127" spans="1:19" x14ac:dyDescent="0.35">
      <c r="A127">
        <v>126</v>
      </c>
      <c r="B127">
        <v>2</v>
      </c>
      <c r="C127" t="s">
        <v>34</v>
      </c>
      <c r="D127">
        <v>2</v>
      </c>
      <c r="F127">
        <v>1</v>
      </c>
      <c r="G127">
        <v>2</v>
      </c>
      <c r="H127">
        <v>0</v>
      </c>
      <c r="I127">
        <v>0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2</v>
      </c>
      <c r="R127" t="s">
        <v>23</v>
      </c>
      <c r="S127" t="s">
        <v>64</v>
      </c>
    </row>
    <row r="128" spans="1:19" x14ac:dyDescent="0.35">
      <c r="A128">
        <v>127</v>
      </c>
      <c r="B128">
        <v>1</v>
      </c>
      <c r="C128" t="s">
        <v>34</v>
      </c>
      <c r="D128">
        <v>2</v>
      </c>
      <c r="F128">
        <v>1</v>
      </c>
      <c r="G128">
        <v>1</v>
      </c>
      <c r="H128">
        <v>1</v>
      </c>
      <c r="I128">
        <v>2</v>
      </c>
      <c r="J128">
        <v>2</v>
      </c>
      <c r="K128">
        <v>1</v>
      </c>
      <c r="L128">
        <v>2</v>
      </c>
      <c r="M128">
        <v>2</v>
      </c>
      <c r="N128">
        <v>1</v>
      </c>
      <c r="O128">
        <v>1</v>
      </c>
      <c r="P128">
        <v>3</v>
      </c>
      <c r="Q128">
        <v>3</v>
      </c>
      <c r="R128" t="s">
        <v>22</v>
      </c>
      <c r="S128">
        <v>2</v>
      </c>
    </row>
    <row r="129" spans="1:19" x14ac:dyDescent="0.35">
      <c r="A129">
        <v>128</v>
      </c>
      <c r="B129">
        <v>1</v>
      </c>
      <c r="C129" t="s">
        <v>35</v>
      </c>
      <c r="D129">
        <v>2</v>
      </c>
      <c r="F129">
        <v>1</v>
      </c>
      <c r="G129">
        <v>1</v>
      </c>
      <c r="H129">
        <v>1</v>
      </c>
      <c r="I129">
        <v>2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3</v>
      </c>
      <c r="Q129">
        <v>1</v>
      </c>
      <c r="R129" t="s">
        <v>23</v>
      </c>
      <c r="S129" t="s">
        <v>65</v>
      </c>
    </row>
    <row r="130" spans="1:19" x14ac:dyDescent="0.35">
      <c r="A130">
        <v>129</v>
      </c>
      <c r="B130">
        <v>1</v>
      </c>
      <c r="C130" t="s">
        <v>35</v>
      </c>
      <c r="D130">
        <v>2</v>
      </c>
      <c r="F130">
        <v>1</v>
      </c>
      <c r="G130">
        <v>1</v>
      </c>
      <c r="H130">
        <v>1</v>
      </c>
      <c r="I130">
        <v>2</v>
      </c>
      <c r="J130">
        <v>1</v>
      </c>
      <c r="K130">
        <v>1</v>
      </c>
      <c r="L130">
        <v>1</v>
      </c>
      <c r="M130">
        <v>1</v>
      </c>
      <c r="N130">
        <v>2</v>
      </c>
      <c r="O130">
        <v>1</v>
      </c>
      <c r="P130">
        <v>1</v>
      </c>
      <c r="Q130">
        <v>2</v>
      </c>
      <c r="R130" t="s">
        <v>23</v>
      </c>
      <c r="S130">
        <v>0</v>
      </c>
    </row>
    <row r="131" spans="1:19" x14ac:dyDescent="0.35">
      <c r="A131">
        <v>130</v>
      </c>
      <c r="B131">
        <v>1</v>
      </c>
      <c r="C131" t="s">
        <v>34</v>
      </c>
      <c r="D131">
        <v>2</v>
      </c>
      <c r="F131">
        <v>1</v>
      </c>
      <c r="G131">
        <v>1</v>
      </c>
      <c r="H131">
        <v>1</v>
      </c>
      <c r="I131" t="s">
        <v>80</v>
      </c>
      <c r="J131">
        <v>2</v>
      </c>
      <c r="K131">
        <v>1</v>
      </c>
      <c r="L131">
        <v>2</v>
      </c>
      <c r="M131">
        <v>2</v>
      </c>
      <c r="N131">
        <v>1</v>
      </c>
      <c r="O131">
        <v>1</v>
      </c>
      <c r="P131">
        <v>0</v>
      </c>
      <c r="Q131">
        <v>1</v>
      </c>
      <c r="R131">
        <v>1</v>
      </c>
      <c r="S131">
        <v>2</v>
      </c>
    </row>
    <row r="132" spans="1:19" x14ac:dyDescent="0.35">
      <c r="A132">
        <v>131</v>
      </c>
      <c r="B132">
        <v>1</v>
      </c>
      <c r="C132" t="s">
        <v>34</v>
      </c>
      <c r="D132">
        <v>2</v>
      </c>
      <c r="F132">
        <v>1</v>
      </c>
      <c r="G132">
        <v>1</v>
      </c>
      <c r="H132">
        <v>0</v>
      </c>
      <c r="I132" t="s">
        <v>80</v>
      </c>
      <c r="J132">
        <v>1</v>
      </c>
      <c r="K132">
        <v>6</v>
      </c>
      <c r="L132">
        <v>2</v>
      </c>
      <c r="M132">
        <v>0</v>
      </c>
      <c r="N132">
        <v>1</v>
      </c>
      <c r="O132">
        <v>1</v>
      </c>
      <c r="P132">
        <v>1</v>
      </c>
      <c r="Q132">
        <v>5</v>
      </c>
      <c r="R132">
        <v>0</v>
      </c>
      <c r="S132">
        <v>0</v>
      </c>
    </row>
    <row r="133" spans="1:19" x14ac:dyDescent="0.35">
      <c r="A133">
        <v>132</v>
      </c>
      <c r="B133">
        <v>2</v>
      </c>
      <c r="C133" t="s">
        <v>35</v>
      </c>
      <c r="D133">
        <v>2</v>
      </c>
      <c r="F133">
        <v>1</v>
      </c>
      <c r="G133">
        <v>1</v>
      </c>
      <c r="H133">
        <v>1</v>
      </c>
      <c r="I133">
        <v>2</v>
      </c>
      <c r="J133">
        <v>2</v>
      </c>
      <c r="K133">
        <v>6</v>
      </c>
      <c r="L133">
        <v>1</v>
      </c>
      <c r="M133">
        <v>2</v>
      </c>
      <c r="N133">
        <v>1</v>
      </c>
      <c r="O133">
        <v>1</v>
      </c>
      <c r="P133">
        <v>1</v>
      </c>
      <c r="Q133">
        <v>2</v>
      </c>
      <c r="R133" t="s">
        <v>23</v>
      </c>
      <c r="S133">
        <v>2</v>
      </c>
    </row>
    <row r="134" spans="1:19" x14ac:dyDescent="0.35">
      <c r="A134">
        <v>133</v>
      </c>
      <c r="B134">
        <v>1</v>
      </c>
      <c r="C134" t="s">
        <v>34</v>
      </c>
      <c r="D134">
        <v>2</v>
      </c>
      <c r="F134">
        <v>1</v>
      </c>
      <c r="G134">
        <v>3</v>
      </c>
      <c r="H134">
        <v>1</v>
      </c>
      <c r="I134" t="s">
        <v>81</v>
      </c>
      <c r="J134">
        <v>2</v>
      </c>
      <c r="K134">
        <v>1</v>
      </c>
      <c r="L134">
        <v>1</v>
      </c>
      <c r="M134">
        <v>2</v>
      </c>
      <c r="N134">
        <v>1</v>
      </c>
      <c r="O134">
        <v>1</v>
      </c>
      <c r="P134">
        <v>1</v>
      </c>
      <c r="Q134">
        <v>2</v>
      </c>
      <c r="R134" t="s">
        <v>23</v>
      </c>
      <c r="S134">
        <v>2</v>
      </c>
    </row>
    <row r="135" spans="1:19" x14ac:dyDescent="0.35">
      <c r="A135">
        <v>134</v>
      </c>
      <c r="B135">
        <v>1</v>
      </c>
      <c r="C135" t="s">
        <v>35</v>
      </c>
      <c r="D135">
        <v>2</v>
      </c>
      <c r="F135">
        <v>1</v>
      </c>
      <c r="G135">
        <v>2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 x14ac:dyDescent="0.35">
      <c r="A136">
        <v>135</v>
      </c>
      <c r="B136">
        <v>3</v>
      </c>
      <c r="C136" t="s">
        <v>66</v>
      </c>
      <c r="D136">
        <v>2</v>
      </c>
      <c r="F136">
        <v>1</v>
      </c>
      <c r="G136">
        <v>3</v>
      </c>
      <c r="H136">
        <v>2</v>
      </c>
      <c r="I136">
        <v>3</v>
      </c>
      <c r="J136">
        <v>3</v>
      </c>
      <c r="K136">
        <v>3</v>
      </c>
      <c r="L136">
        <v>3</v>
      </c>
      <c r="M136">
        <v>3</v>
      </c>
      <c r="N136">
        <v>3</v>
      </c>
      <c r="O136">
        <v>3</v>
      </c>
      <c r="P136">
        <v>3</v>
      </c>
      <c r="Q136">
        <v>3</v>
      </c>
      <c r="R136">
        <v>2</v>
      </c>
      <c r="S136">
        <v>2</v>
      </c>
    </row>
    <row r="137" spans="1:19" x14ac:dyDescent="0.35">
      <c r="A137">
        <v>136</v>
      </c>
      <c r="B137">
        <v>1</v>
      </c>
      <c r="C137" t="s">
        <v>35</v>
      </c>
      <c r="D137">
        <v>2</v>
      </c>
      <c r="F137">
        <v>1</v>
      </c>
      <c r="G137">
        <v>1</v>
      </c>
      <c r="H137">
        <v>1</v>
      </c>
      <c r="I137">
        <v>2</v>
      </c>
      <c r="J137">
        <v>1</v>
      </c>
      <c r="K137">
        <v>1</v>
      </c>
      <c r="L137">
        <v>1</v>
      </c>
      <c r="M137">
        <v>2</v>
      </c>
      <c r="N137">
        <v>1</v>
      </c>
      <c r="O137">
        <v>1</v>
      </c>
      <c r="P137">
        <v>3</v>
      </c>
      <c r="Q137">
        <v>2</v>
      </c>
      <c r="R137" t="s">
        <v>62</v>
      </c>
      <c r="S137">
        <v>2</v>
      </c>
    </row>
    <row r="138" spans="1:19" x14ac:dyDescent="0.35">
      <c r="A138">
        <v>137</v>
      </c>
      <c r="B138">
        <v>1</v>
      </c>
      <c r="C138" t="s">
        <v>35</v>
      </c>
      <c r="D138">
        <v>2</v>
      </c>
      <c r="F138">
        <v>1</v>
      </c>
      <c r="G138">
        <v>1</v>
      </c>
      <c r="H138">
        <v>1</v>
      </c>
      <c r="I138" t="s">
        <v>81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2</v>
      </c>
      <c r="R138" t="s">
        <v>22</v>
      </c>
      <c r="S138">
        <v>1</v>
      </c>
    </row>
    <row r="139" spans="1:19" x14ac:dyDescent="0.35">
      <c r="A139">
        <v>138</v>
      </c>
      <c r="B139">
        <v>1</v>
      </c>
      <c r="C139" t="s">
        <v>35</v>
      </c>
      <c r="D139">
        <v>2</v>
      </c>
      <c r="F139">
        <v>1</v>
      </c>
      <c r="G139">
        <v>2</v>
      </c>
      <c r="H139">
        <v>2</v>
      </c>
      <c r="I139" t="s">
        <v>80</v>
      </c>
      <c r="J139">
        <v>2</v>
      </c>
      <c r="K139">
        <v>1</v>
      </c>
      <c r="L139">
        <v>2</v>
      </c>
      <c r="M139">
        <v>2</v>
      </c>
      <c r="N139">
        <v>1</v>
      </c>
      <c r="O139">
        <v>1</v>
      </c>
      <c r="P139">
        <v>3</v>
      </c>
      <c r="Q139">
        <v>2</v>
      </c>
      <c r="R139" t="s">
        <v>33</v>
      </c>
      <c r="S139">
        <v>2</v>
      </c>
    </row>
    <row r="140" spans="1:19" x14ac:dyDescent="0.35">
      <c r="A140">
        <v>139</v>
      </c>
      <c r="B140">
        <v>1</v>
      </c>
      <c r="C140" t="s">
        <v>34</v>
      </c>
      <c r="D140">
        <v>2</v>
      </c>
      <c r="F140">
        <v>1</v>
      </c>
      <c r="G140">
        <v>1</v>
      </c>
      <c r="H140">
        <v>1</v>
      </c>
      <c r="I140">
        <v>2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5</v>
      </c>
      <c r="R140" t="s">
        <v>33</v>
      </c>
      <c r="S140" t="s">
        <v>67</v>
      </c>
    </row>
    <row r="141" spans="1:19" x14ac:dyDescent="0.35">
      <c r="A141">
        <v>140</v>
      </c>
      <c r="B141">
        <v>1</v>
      </c>
      <c r="C141" t="s">
        <v>34</v>
      </c>
      <c r="D141">
        <v>2</v>
      </c>
      <c r="F141">
        <v>1</v>
      </c>
      <c r="G141">
        <v>1</v>
      </c>
      <c r="H141">
        <v>2</v>
      </c>
      <c r="I141">
        <v>2</v>
      </c>
      <c r="J141">
        <v>1</v>
      </c>
      <c r="K141">
        <v>1</v>
      </c>
      <c r="L141">
        <v>1</v>
      </c>
      <c r="M141">
        <v>2</v>
      </c>
      <c r="N141">
        <v>1</v>
      </c>
      <c r="O141">
        <v>1</v>
      </c>
      <c r="P141">
        <v>3</v>
      </c>
      <c r="Q141">
        <v>3</v>
      </c>
      <c r="R141" t="s">
        <v>28</v>
      </c>
      <c r="S141" t="s">
        <v>68</v>
      </c>
    </row>
    <row r="142" spans="1:19" x14ac:dyDescent="0.35">
      <c r="A142">
        <v>141</v>
      </c>
      <c r="B142">
        <v>1</v>
      </c>
      <c r="C142" t="s">
        <v>69</v>
      </c>
      <c r="D142">
        <v>1</v>
      </c>
      <c r="F142">
        <v>1</v>
      </c>
      <c r="G142">
        <v>2</v>
      </c>
      <c r="H142">
        <v>2</v>
      </c>
      <c r="I142" t="s">
        <v>80</v>
      </c>
      <c r="J142">
        <v>1</v>
      </c>
      <c r="K142">
        <v>7</v>
      </c>
      <c r="L142">
        <v>2</v>
      </c>
      <c r="M142">
        <v>2</v>
      </c>
      <c r="N142">
        <v>1</v>
      </c>
      <c r="O142">
        <v>1</v>
      </c>
      <c r="P142">
        <v>1</v>
      </c>
      <c r="Q142">
        <v>5</v>
      </c>
      <c r="R142">
        <v>2</v>
      </c>
      <c r="S142">
        <v>2</v>
      </c>
    </row>
    <row r="143" spans="1:19" x14ac:dyDescent="0.35">
      <c r="A143">
        <v>142</v>
      </c>
      <c r="B143">
        <v>1</v>
      </c>
      <c r="C143" t="s">
        <v>34</v>
      </c>
      <c r="D143">
        <v>1</v>
      </c>
      <c r="F143">
        <v>1</v>
      </c>
      <c r="G143">
        <v>1</v>
      </c>
      <c r="H143">
        <v>1</v>
      </c>
      <c r="I143">
        <v>2</v>
      </c>
      <c r="J143">
        <v>2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0</v>
      </c>
      <c r="Q143">
        <v>0</v>
      </c>
      <c r="R143" t="s">
        <v>20</v>
      </c>
      <c r="S143" t="s">
        <v>70</v>
      </c>
    </row>
    <row r="144" spans="1:19" x14ac:dyDescent="0.35">
      <c r="A144">
        <v>143</v>
      </c>
      <c r="B144">
        <v>1</v>
      </c>
      <c r="C144" t="s">
        <v>35</v>
      </c>
      <c r="D144">
        <v>2</v>
      </c>
      <c r="F144">
        <v>1</v>
      </c>
      <c r="G144">
        <v>1</v>
      </c>
      <c r="H144">
        <v>0</v>
      </c>
      <c r="I144">
        <v>2</v>
      </c>
      <c r="J144">
        <v>2</v>
      </c>
      <c r="K144">
        <v>1</v>
      </c>
      <c r="L144">
        <v>1</v>
      </c>
      <c r="M144">
        <v>1</v>
      </c>
      <c r="N144">
        <v>2</v>
      </c>
      <c r="O144">
        <v>1</v>
      </c>
      <c r="P144">
        <v>1</v>
      </c>
      <c r="Q144">
        <v>2</v>
      </c>
      <c r="R144" t="s">
        <v>23</v>
      </c>
      <c r="S144">
        <v>2</v>
      </c>
    </row>
    <row r="145" spans="1:19" x14ac:dyDescent="0.35">
      <c r="A145">
        <v>144</v>
      </c>
      <c r="B145">
        <v>1</v>
      </c>
      <c r="C145" t="s">
        <v>35</v>
      </c>
      <c r="D145">
        <v>1</v>
      </c>
      <c r="F145">
        <v>1</v>
      </c>
      <c r="G145">
        <v>1</v>
      </c>
      <c r="H145">
        <v>1</v>
      </c>
      <c r="I145">
        <v>2</v>
      </c>
      <c r="J145">
        <v>2</v>
      </c>
      <c r="K145">
        <v>1</v>
      </c>
      <c r="L145">
        <v>1</v>
      </c>
      <c r="M145">
        <v>2</v>
      </c>
      <c r="N145">
        <v>1</v>
      </c>
      <c r="O145">
        <v>1</v>
      </c>
      <c r="P145">
        <v>3</v>
      </c>
      <c r="Q145">
        <v>5</v>
      </c>
      <c r="R145" t="s">
        <v>32</v>
      </c>
      <c r="S145" t="s">
        <v>51</v>
      </c>
    </row>
    <row r="146" spans="1:19" x14ac:dyDescent="0.35">
      <c r="A146">
        <v>145</v>
      </c>
      <c r="B146">
        <v>2</v>
      </c>
      <c r="C146" t="s">
        <v>36</v>
      </c>
      <c r="D146">
        <v>2</v>
      </c>
      <c r="F146">
        <v>1</v>
      </c>
      <c r="G146">
        <v>3</v>
      </c>
      <c r="H146">
        <v>0</v>
      </c>
      <c r="I146" t="s">
        <v>80</v>
      </c>
      <c r="J146">
        <v>2</v>
      </c>
      <c r="K146">
        <v>1</v>
      </c>
      <c r="L146">
        <v>1</v>
      </c>
      <c r="M146">
        <v>2</v>
      </c>
      <c r="N146">
        <v>1</v>
      </c>
      <c r="O146">
        <v>1</v>
      </c>
      <c r="P146">
        <v>3</v>
      </c>
      <c r="Q146">
        <v>0</v>
      </c>
      <c r="R146">
        <v>0</v>
      </c>
      <c r="S146">
        <v>0</v>
      </c>
    </row>
    <row r="147" spans="1:19" x14ac:dyDescent="0.35">
      <c r="A147">
        <v>146</v>
      </c>
      <c r="B147">
        <v>3</v>
      </c>
      <c r="C147" t="s">
        <v>18</v>
      </c>
      <c r="D147">
        <v>1</v>
      </c>
      <c r="F147">
        <v>1</v>
      </c>
      <c r="G147">
        <v>1</v>
      </c>
      <c r="H147">
        <v>1</v>
      </c>
      <c r="I147">
        <v>2</v>
      </c>
      <c r="J147">
        <v>2</v>
      </c>
      <c r="K147">
        <v>1</v>
      </c>
      <c r="L147">
        <v>1</v>
      </c>
      <c r="M147">
        <v>2</v>
      </c>
      <c r="N147">
        <v>1</v>
      </c>
      <c r="O147">
        <v>1</v>
      </c>
      <c r="P147">
        <v>1</v>
      </c>
      <c r="Q147">
        <v>1</v>
      </c>
      <c r="R147" t="s">
        <v>28</v>
      </c>
      <c r="S147">
        <v>2</v>
      </c>
    </row>
    <row r="148" spans="1:19" x14ac:dyDescent="0.35">
      <c r="A148">
        <v>147</v>
      </c>
      <c r="B148">
        <v>1</v>
      </c>
      <c r="C148" t="s">
        <v>34</v>
      </c>
      <c r="D148">
        <v>1</v>
      </c>
      <c r="F148">
        <v>1</v>
      </c>
      <c r="G148">
        <v>1</v>
      </c>
      <c r="H148">
        <v>1</v>
      </c>
      <c r="I148" t="s">
        <v>80</v>
      </c>
      <c r="J148">
        <v>2</v>
      </c>
      <c r="K148">
        <v>0</v>
      </c>
      <c r="L148">
        <v>2</v>
      </c>
      <c r="M148">
        <v>1</v>
      </c>
      <c r="N148">
        <v>2</v>
      </c>
      <c r="O148">
        <v>1</v>
      </c>
      <c r="P148">
        <v>3</v>
      </c>
      <c r="Q148">
        <v>3</v>
      </c>
      <c r="R148" t="s">
        <v>20</v>
      </c>
      <c r="S148">
        <v>2</v>
      </c>
    </row>
    <row r="149" spans="1:19" x14ac:dyDescent="0.35">
      <c r="A149">
        <v>148</v>
      </c>
      <c r="B149">
        <v>3</v>
      </c>
      <c r="C149" t="s">
        <v>18</v>
      </c>
      <c r="D149">
        <v>2</v>
      </c>
      <c r="F149">
        <v>1</v>
      </c>
      <c r="G149">
        <v>1</v>
      </c>
      <c r="H149">
        <v>1</v>
      </c>
      <c r="I149" t="s">
        <v>81</v>
      </c>
      <c r="J149">
        <v>2</v>
      </c>
      <c r="K149">
        <v>1</v>
      </c>
      <c r="L149">
        <v>1</v>
      </c>
      <c r="M149">
        <v>2</v>
      </c>
      <c r="N149">
        <v>1</v>
      </c>
      <c r="O149">
        <v>1</v>
      </c>
      <c r="P149">
        <v>1</v>
      </c>
      <c r="Q149">
        <v>2</v>
      </c>
      <c r="R149" t="s">
        <v>31</v>
      </c>
      <c r="S149" t="s">
        <v>71</v>
      </c>
    </row>
    <row r="150" spans="1:19" x14ac:dyDescent="0.35">
      <c r="A150">
        <v>149</v>
      </c>
      <c r="B150">
        <v>2</v>
      </c>
      <c r="C150" t="s">
        <v>72</v>
      </c>
      <c r="D150">
        <v>2</v>
      </c>
      <c r="F150">
        <v>1</v>
      </c>
      <c r="G150">
        <v>1</v>
      </c>
      <c r="H150">
        <v>1</v>
      </c>
      <c r="I150" t="s">
        <v>80</v>
      </c>
      <c r="J150">
        <v>3</v>
      </c>
      <c r="K150">
        <v>1</v>
      </c>
      <c r="L150">
        <v>1</v>
      </c>
      <c r="M150">
        <v>3</v>
      </c>
      <c r="N150">
        <v>1</v>
      </c>
      <c r="O150">
        <v>1</v>
      </c>
      <c r="P150">
        <v>3</v>
      </c>
      <c r="Q150">
        <v>3</v>
      </c>
      <c r="R150" t="s">
        <v>31</v>
      </c>
      <c r="S150">
        <v>2</v>
      </c>
    </row>
    <row r="151" spans="1:19" x14ac:dyDescent="0.35">
      <c r="A151">
        <v>150</v>
      </c>
      <c r="B151">
        <v>1</v>
      </c>
      <c r="C151" t="s">
        <v>35</v>
      </c>
      <c r="D151">
        <v>2</v>
      </c>
      <c r="F151">
        <v>1</v>
      </c>
      <c r="G151">
        <v>2</v>
      </c>
      <c r="H151">
        <v>2</v>
      </c>
      <c r="I151">
        <v>0</v>
      </c>
      <c r="J151">
        <v>3</v>
      </c>
      <c r="K151">
        <v>3</v>
      </c>
      <c r="L151">
        <v>3</v>
      </c>
      <c r="M151">
        <v>3</v>
      </c>
      <c r="N151">
        <v>3</v>
      </c>
      <c r="O151">
        <v>3</v>
      </c>
      <c r="P151">
        <v>3</v>
      </c>
      <c r="Q151">
        <v>3</v>
      </c>
      <c r="R151">
        <v>3</v>
      </c>
      <c r="S151">
        <v>3</v>
      </c>
    </row>
    <row r="152" spans="1:19" x14ac:dyDescent="0.35">
      <c r="A152">
        <v>151</v>
      </c>
      <c r="B152">
        <v>4</v>
      </c>
      <c r="C152" t="s">
        <v>18</v>
      </c>
      <c r="D152">
        <v>2</v>
      </c>
      <c r="F152">
        <v>1</v>
      </c>
      <c r="G152">
        <v>2</v>
      </c>
      <c r="H152">
        <v>2</v>
      </c>
      <c r="I152">
        <v>3</v>
      </c>
      <c r="J152">
        <v>1</v>
      </c>
      <c r="K152">
        <v>3</v>
      </c>
      <c r="L152">
        <v>3</v>
      </c>
      <c r="M152">
        <v>3</v>
      </c>
      <c r="N152">
        <v>3</v>
      </c>
      <c r="O152">
        <v>3</v>
      </c>
      <c r="P152">
        <v>3</v>
      </c>
      <c r="Q152">
        <v>3</v>
      </c>
      <c r="R152">
        <v>2</v>
      </c>
      <c r="S152" t="s">
        <v>73</v>
      </c>
    </row>
    <row r="153" spans="1:19" x14ac:dyDescent="0.35">
      <c r="A153">
        <v>152</v>
      </c>
      <c r="B153">
        <v>3</v>
      </c>
      <c r="C153" t="s">
        <v>18</v>
      </c>
      <c r="D153">
        <v>1</v>
      </c>
      <c r="F153">
        <v>1</v>
      </c>
      <c r="G153">
        <v>1</v>
      </c>
      <c r="H153">
        <v>1</v>
      </c>
      <c r="I153" t="s">
        <v>81</v>
      </c>
      <c r="J153">
        <v>1</v>
      </c>
      <c r="K153">
        <v>3</v>
      </c>
      <c r="L153">
        <v>1</v>
      </c>
      <c r="M153">
        <v>3</v>
      </c>
      <c r="N153">
        <v>1</v>
      </c>
      <c r="O153">
        <v>3</v>
      </c>
      <c r="P153">
        <v>3</v>
      </c>
      <c r="Q153">
        <v>3</v>
      </c>
      <c r="R153" t="s">
        <v>74</v>
      </c>
      <c r="S153">
        <v>2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3"/>
  <sheetViews>
    <sheetView workbookViewId="0">
      <selection activeCell="G23" sqref="G23"/>
    </sheetView>
  </sheetViews>
  <sheetFormatPr defaultRowHeight="14.5" x14ac:dyDescent="0.35"/>
  <sheetData>
    <row r="1" spans="1:12" x14ac:dyDescent="0.35">
      <c r="A1" t="s">
        <v>3</v>
      </c>
      <c r="B1" t="s">
        <v>8</v>
      </c>
      <c r="C1" t="s">
        <v>9</v>
      </c>
    </row>
    <row r="2" spans="1:12" x14ac:dyDescent="0.35">
      <c r="A2">
        <v>1</v>
      </c>
      <c r="B2">
        <v>2</v>
      </c>
      <c r="C2">
        <v>1</v>
      </c>
    </row>
    <row r="3" spans="1:12" x14ac:dyDescent="0.35">
      <c r="A3">
        <v>1</v>
      </c>
      <c r="B3">
        <v>1</v>
      </c>
      <c r="C3">
        <v>1</v>
      </c>
    </row>
    <row r="4" spans="1:12" x14ac:dyDescent="0.35">
      <c r="A4">
        <v>2</v>
      </c>
      <c r="B4">
        <v>2</v>
      </c>
      <c r="C4">
        <v>1</v>
      </c>
    </row>
    <row r="5" spans="1:12" x14ac:dyDescent="0.35">
      <c r="A5">
        <v>1</v>
      </c>
      <c r="B5">
        <v>2</v>
      </c>
      <c r="C5">
        <v>1</v>
      </c>
    </row>
    <row r="6" spans="1:12" x14ac:dyDescent="0.35">
      <c r="A6">
        <v>1</v>
      </c>
      <c r="B6">
        <v>1</v>
      </c>
      <c r="C6">
        <v>1</v>
      </c>
    </row>
    <row r="7" spans="1:12" x14ac:dyDescent="0.35">
      <c r="A7">
        <v>1</v>
      </c>
      <c r="B7">
        <v>2</v>
      </c>
      <c r="C7">
        <v>1</v>
      </c>
    </row>
    <row r="8" spans="1:12" x14ac:dyDescent="0.35">
      <c r="A8">
        <v>1</v>
      </c>
      <c r="B8">
        <v>2</v>
      </c>
      <c r="C8">
        <v>1</v>
      </c>
    </row>
    <row r="9" spans="1:12" x14ac:dyDescent="0.35">
      <c r="A9">
        <v>1</v>
      </c>
      <c r="B9">
        <v>2</v>
      </c>
      <c r="C9">
        <v>1</v>
      </c>
      <c r="J9" t="s">
        <v>77</v>
      </c>
      <c r="K9" t="s">
        <v>78</v>
      </c>
      <c r="L9" t="s">
        <v>79</v>
      </c>
    </row>
    <row r="10" spans="1:12" x14ac:dyDescent="0.35">
      <c r="A10">
        <v>1</v>
      </c>
      <c r="B10">
        <v>2</v>
      </c>
      <c r="C10">
        <v>1</v>
      </c>
      <c r="I10" t="s">
        <v>75</v>
      </c>
      <c r="J10">
        <v>21</v>
      </c>
      <c r="K10">
        <v>79</v>
      </c>
      <c r="L10">
        <v>0</v>
      </c>
    </row>
    <row r="11" spans="1:12" x14ac:dyDescent="0.35">
      <c r="A11">
        <v>1</v>
      </c>
      <c r="B11">
        <v>2</v>
      </c>
      <c r="C11">
        <v>1</v>
      </c>
      <c r="I11" t="s">
        <v>76</v>
      </c>
      <c r="J11">
        <v>43</v>
      </c>
      <c r="K11">
        <v>52</v>
      </c>
      <c r="L11">
        <v>5</v>
      </c>
    </row>
    <row r="12" spans="1:12" x14ac:dyDescent="0.35">
      <c r="A12">
        <v>1</v>
      </c>
      <c r="B12">
        <v>2</v>
      </c>
      <c r="C12">
        <v>1</v>
      </c>
    </row>
    <row r="13" spans="1:12" x14ac:dyDescent="0.35">
      <c r="A13">
        <v>1</v>
      </c>
      <c r="B13">
        <v>2</v>
      </c>
      <c r="C13">
        <v>3</v>
      </c>
    </row>
    <row r="14" spans="1:12" x14ac:dyDescent="0.35">
      <c r="A14">
        <v>1</v>
      </c>
      <c r="B14">
        <v>2</v>
      </c>
      <c r="C14">
        <v>1</v>
      </c>
    </row>
    <row r="15" spans="1:12" x14ac:dyDescent="0.35">
      <c r="A15">
        <v>1</v>
      </c>
      <c r="B15">
        <v>1</v>
      </c>
      <c r="C15">
        <v>1</v>
      </c>
    </row>
    <row r="16" spans="1:12" x14ac:dyDescent="0.35">
      <c r="A16">
        <v>1</v>
      </c>
      <c r="B16">
        <v>2</v>
      </c>
      <c r="C16">
        <v>1</v>
      </c>
    </row>
    <row r="17" spans="1:3" x14ac:dyDescent="0.35">
      <c r="A17">
        <v>1</v>
      </c>
      <c r="B17">
        <v>2</v>
      </c>
      <c r="C17">
        <v>1</v>
      </c>
    </row>
    <row r="18" spans="1:3" x14ac:dyDescent="0.35">
      <c r="A18">
        <v>1</v>
      </c>
      <c r="B18">
        <v>2</v>
      </c>
      <c r="C18">
        <v>1</v>
      </c>
    </row>
    <row r="19" spans="1:3" x14ac:dyDescent="0.35">
      <c r="A19">
        <v>1</v>
      </c>
      <c r="B19">
        <v>2</v>
      </c>
      <c r="C19">
        <v>1</v>
      </c>
    </row>
    <row r="20" spans="1:3" x14ac:dyDescent="0.35">
      <c r="A20">
        <v>1</v>
      </c>
      <c r="B20">
        <v>2</v>
      </c>
      <c r="C20">
        <v>0</v>
      </c>
    </row>
    <row r="21" spans="1:3" x14ac:dyDescent="0.35">
      <c r="A21">
        <v>1</v>
      </c>
      <c r="B21">
        <v>2</v>
      </c>
      <c r="C21">
        <v>1</v>
      </c>
    </row>
    <row r="22" spans="1:3" x14ac:dyDescent="0.35">
      <c r="A22">
        <v>1</v>
      </c>
      <c r="B22">
        <v>2</v>
      </c>
      <c r="C22">
        <v>1</v>
      </c>
    </row>
    <row r="23" spans="1:3" x14ac:dyDescent="0.35">
      <c r="A23">
        <v>1</v>
      </c>
      <c r="B23">
        <v>2</v>
      </c>
      <c r="C23">
        <v>1</v>
      </c>
    </row>
    <row r="24" spans="1:3" x14ac:dyDescent="0.35">
      <c r="A24">
        <v>1</v>
      </c>
      <c r="B24">
        <v>2</v>
      </c>
      <c r="C24">
        <v>1</v>
      </c>
    </row>
    <row r="25" spans="1:3" x14ac:dyDescent="0.35">
      <c r="A25">
        <v>1</v>
      </c>
      <c r="B25">
        <v>2</v>
      </c>
      <c r="C25">
        <v>1</v>
      </c>
    </row>
    <row r="26" spans="1:3" x14ac:dyDescent="0.35">
      <c r="A26">
        <v>1</v>
      </c>
      <c r="B26">
        <v>2</v>
      </c>
      <c r="C26">
        <v>1</v>
      </c>
    </row>
    <row r="27" spans="1:3" x14ac:dyDescent="0.35">
      <c r="A27">
        <v>1</v>
      </c>
      <c r="B27">
        <v>2</v>
      </c>
      <c r="C27">
        <v>1</v>
      </c>
    </row>
    <row r="28" spans="1:3" x14ac:dyDescent="0.35">
      <c r="A28">
        <v>1</v>
      </c>
      <c r="B28">
        <v>2</v>
      </c>
      <c r="C28">
        <v>1</v>
      </c>
    </row>
    <row r="29" spans="1:3" x14ac:dyDescent="0.35">
      <c r="A29">
        <v>1</v>
      </c>
      <c r="B29">
        <v>2</v>
      </c>
      <c r="C29">
        <v>3</v>
      </c>
    </row>
    <row r="30" spans="1:3" x14ac:dyDescent="0.35">
      <c r="A30">
        <v>1</v>
      </c>
      <c r="B30">
        <v>1</v>
      </c>
      <c r="C30">
        <v>1</v>
      </c>
    </row>
    <row r="31" spans="1:3" x14ac:dyDescent="0.35">
      <c r="A31">
        <v>1</v>
      </c>
      <c r="B31">
        <v>2</v>
      </c>
      <c r="C31">
        <v>1</v>
      </c>
    </row>
    <row r="32" spans="1:3" x14ac:dyDescent="0.35">
      <c r="A32">
        <v>1</v>
      </c>
      <c r="B32">
        <v>1</v>
      </c>
      <c r="C32">
        <v>1</v>
      </c>
    </row>
    <row r="33" spans="1:3" x14ac:dyDescent="0.35">
      <c r="A33">
        <v>2</v>
      </c>
      <c r="B33">
        <v>1</v>
      </c>
      <c r="C33">
        <v>1</v>
      </c>
    </row>
    <row r="34" spans="1:3" x14ac:dyDescent="0.35">
      <c r="A34">
        <v>1</v>
      </c>
      <c r="B34">
        <v>0</v>
      </c>
      <c r="C34">
        <v>0</v>
      </c>
    </row>
    <row r="35" spans="1:3" x14ac:dyDescent="0.35">
      <c r="A35">
        <v>2</v>
      </c>
      <c r="B35">
        <v>1</v>
      </c>
      <c r="C35">
        <v>1</v>
      </c>
    </row>
    <row r="36" spans="1:3" x14ac:dyDescent="0.35">
      <c r="A36">
        <v>0</v>
      </c>
      <c r="B36">
        <v>2</v>
      </c>
      <c r="C36">
        <v>1</v>
      </c>
    </row>
    <row r="37" spans="1:3" x14ac:dyDescent="0.35">
      <c r="A37">
        <v>2</v>
      </c>
      <c r="B37">
        <v>1</v>
      </c>
      <c r="C37">
        <v>1</v>
      </c>
    </row>
    <row r="38" spans="1:3" x14ac:dyDescent="0.35">
      <c r="A38">
        <v>2</v>
      </c>
      <c r="B38">
        <v>1</v>
      </c>
      <c r="C38">
        <v>1</v>
      </c>
    </row>
    <row r="39" spans="1:3" x14ac:dyDescent="0.35">
      <c r="A39">
        <v>1</v>
      </c>
      <c r="B39">
        <v>1</v>
      </c>
      <c r="C39">
        <v>1</v>
      </c>
    </row>
    <row r="40" spans="1:3" x14ac:dyDescent="0.35">
      <c r="A40">
        <v>2</v>
      </c>
      <c r="B40">
        <v>1</v>
      </c>
      <c r="C40">
        <v>1</v>
      </c>
    </row>
    <row r="41" spans="1:3" x14ac:dyDescent="0.35">
      <c r="A41">
        <v>2</v>
      </c>
      <c r="B41">
        <v>2</v>
      </c>
      <c r="C41">
        <v>1</v>
      </c>
    </row>
    <row r="42" spans="1:3" x14ac:dyDescent="0.35">
      <c r="A42">
        <v>2</v>
      </c>
      <c r="C42">
        <v>0</v>
      </c>
    </row>
    <row r="43" spans="1:3" x14ac:dyDescent="0.35">
      <c r="A43">
        <v>2</v>
      </c>
      <c r="B43">
        <v>1</v>
      </c>
      <c r="C43">
        <v>1</v>
      </c>
    </row>
    <row r="44" spans="1:3" x14ac:dyDescent="0.35">
      <c r="A44">
        <v>2</v>
      </c>
      <c r="B44">
        <v>1</v>
      </c>
      <c r="C44">
        <v>1</v>
      </c>
    </row>
    <row r="45" spans="1:3" x14ac:dyDescent="0.35">
      <c r="A45">
        <v>2</v>
      </c>
      <c r="B45">
        <v>1</v>
      </c>
      <c r="C45">
        <v>1</v>
      </c>
    </row>
    <row r="46" spans="1:3" x14ac:dyDescent="0.35">
      <c r="A46">
        <v>2</v>
      </c>
      <c r="B46">
        <v>2</v>
      </c>
      <c r="C46">
        <v>3</v>
      </c>
    </row>
    <row r="47" spans="1:3" x14ac:dyDescent="0.35">
      <c r="A47">
        <v>2</v>
      </c>
      <c r="B47">
        <v>2</v>
      </c>
      <c r="C47">
        <v>1</v>
      </c>
    </row>
    <row r="48" spans="1:3" x14ac:dyDescent="0.35">
      <c r="A48">
        <v>2</v>
      </c>
      <c r="B48">
        <v>2</v>
      </c>
      <c r="C48">
        <v>1</v>
      </c>
    </row>
    <row r="49" spans="1:3" x14ac:dyDescent="0.35">
      <c r="A49">
        <v>2</v>
      </c>
      <c r="B49">
        <v>2</v>
      </c>
      <c r="C49">
        <v>1</v>
      </c>
    </row>
    <row r="50" spans="1:3" x14ac:dyDescent="0.35">
      <c r="A50">
        <v>2</v>
      </c>
      <c r="B50">
        <v>3</v>
      </c>
      <c r="C50">
        <v>3</v>
      </c>
    </row>
    <row r="51" spans="1:3" x14ac:dyDescent="0.35">
      <c r="A51">
        <v>2</v>
      </c>
      <c r="B51">
        <v>1</v>
      </c>
      <c r="C51">
        <v>1</v>
      </c>
    </row>
    <row r="52" spans="1:3" x14ac:dyDescent="0.35">
      <c r="A52">
        <v>2</v>
      </c>
      <c r="B52">
        <v>2</v>
      </c>
      <c r="C52">
        <v>1</v>
      </c>
    </row>
    <row r="53" spans="1:3" x14ac:dyDescent="0.35">
      <c r="A53">
        <v>1</v>
      </c>
      <c r="B53">
        <v>2</v>
      </c>
      <c r="C53">
        <v>1</v>
      </c>
    </row>
    <row r="54" spans="1:3" x14ac:dyDescent="0.35">
      <c r="A54">
        <v>1</v>
      </c>
      <c r="B54">
        <v>0</v>
      </c>
      <c r="C54">
        <v>1</v>
      </c>
    </row>
    <row r="55" spans="1:3" x14ac:dyDescent="0.35">
      <c r="A55">
        <v>2</v>
      </c>
      <c r="B55">
        <v>1</v>
      </c>
      <c r="C55">
        <v>1</v>
      </c>
    </row>
    <row r="56" spans="1:3" x14ac:dyDescent="0.35">
      <c r="A56">
        <v>2</v>
      </c>
      <c r="B56">
        <v>1</v>
      </c>
      <c r="C56">
        <v>1</v>
      </c>
    </row>
    <row r="57" spans="1:3" x14ac:dyDescent="0.35">
      <c r="A57">
        <v>2</v>
      </c>
      <c r="B57">
        <v>1</v>
      </c>
      <c r="C57">
        <v>1</v>
      </c>
    </row>
    <row r="58" spans="1:3" x14ac:dyDescent="0.35">
      <c r="A58">
        <v>2</v>
      </c>
      <c r="B58">
        <v>1</v>
      </c>
      <c r="C58">
        <v>1</v>
      </c>
    </row>
    <row r="59" spans="1:3" x14ac:dyDescent="0.35">
      <c r="A59">
        <v>1</v>
      </c>
      <c r="B59">
        <v>1</v>
      </c>
      <c r="C59">
        <v>1</v>
      </c>
    </row>
    <row r="60" spans="1:3" x14ac:dyDescent="0.35">
      <c r="A60">
        <v>2</v>
      </c>
      <c r="B60">
        <v>2</v>
      </c>
      <c r="C60">
        <v>7</v>
      </c>
    </row>
    <row r="61" spans="1:3" x14ac:dyDescent="0.35">
      <c r="A61">
        <v>2</v>
      </c>
      <c r="B61">
        <v>2</v>
      </c>
      <c r="C61">
        <v>1</v>
      </c>
    </row>
    <row r="62" spans="1:3" x14ac:dyDescent="0.35">
      <c r="A62">
        <v>2</v>
      </c>
      <c r="B62">
        <v>2</v>
      </c>
      <c r="C62">
        <v>1</v>
      </c>
    </row>
    <row r="63" spans="1:3" x14ac:dyDescent="0.35">
      <c r="A63">
        <v>2</v>
      </c>
      <c r="B63">
        <v>1</v>
      </c>
      <c r="C63">
        <v>6</v>
      </c>
    </row>
    <row r="64" spans="1:3" x14ac:dyDescent="0.35">
      <c r="A64">
        <v>2</v>
      </c>
      <c r="B64">
        <v>2</v>
      </c>
      <c r="C64">
        <v>1</v>
      </c>
    </row>
    <row r="65" spans="1:3" x14ac:dyDescent="0.35">
      <c r="A65">
        <v>1</v>
      </c>
      <c r="B65">
        <v>2</v>
      </c>
      <c r="C65">
        <v>1</v>
      </c>
    </row>
    <row r="66" spans="1:3" x14ac:dyDescent="0.35">
      <c r="A66">
        <v>2</v>
      </c>
      <c r="B66">
        <v>2</v>
      </c>
      <c r="C66">
        <v>1</v>
      </c>
    </row>
    <row r="67" spans="1:3" x14ac:dyDescent="0.35">
      <c r="A67">
        <v>2</v>
      </c>
      <c r="B67">
        <v>2</v>
      </c>
      <c r="C67">
        <v>2</v>
      </c>
    </row>
    <row r="68" spans="1:3" x14ac:dyDescent="0.35">
      <c r="A68">
        <v>2</v>
      </c>
      <c r="B68">
        <v>1</v>
      </c>
      <c r="C68">
        <v>1</v>
      </c>
    </row>
    <row r="69" spans="1:3" x14ac:dyDescent="0.35">
      <c r="A69">
        <v>2</v>
      </c>
      <c r="B69">
        <v>2</v>
      </c>
      <c r="C69">
        <v>1</v>
      </c>
    </row>
    <row r="70" spans="1:3" x14ac:dyDescent="0.35">
      <c r="A70">
        <v>2</v>
      </c>
      <c r="B70">
        <v>2</v>
      </c>
      <c r="C70">
        <v>1</v>
      </c>
    </row>
    <row r="71" spans="1:3" x14ac:dyDescent="0.35">
      <c r="A71">
        <v>2</v>
      </c>
      <c r="B71">
        <v>3</v>
      </c>
      <c r="C71">
        <v>3</v>
      </c>
    </row>
    <row r="72" spans="1:3" x14ac:dyDescent="0.35">
      <c r="A72">
        <v>2</v>
      </c>
      <c r="B72">
        <v>2</v>
      </c>
      <c r="C72">
        <v>1</v>
      </c>
    </row>
    <row r="73" spans="1:3" x14ac:dyDescent="0.35">
      <c r="A73">
        <v>2</v>
      </c>
      <c r="B73">
        <v>2</v>
      </c>
      <c r="C73">
        <v>3</v>
      </c>
    </row>
    <row r="74" spans="1:3" x14ac:dyDescent="0.35">
      <c r="A74">
        <v>2</v>
      </c>
      <c r="B74">
        <v>2</v>
      </c>
      <c r="C74">
        <v>3</v>
      </c>
    </row>
    <row r="75" spans="1:3" x14ac:dyDescent="0.35">
      <c r="A75">
        <v>2</v>
      </c>
      <c r="B75">
        <v>1</v>
      </c>
      <c r="C75">
        <v>1</v>
      </c>
    </row>
    <row r="76" spans="1:3" x14ac:dyDescent="0.35">
      <c r="A76">
        <v>2</v>
      </c>
      <c r="B76">
        <v>0</v>
      </c>
      <c r="C76">
        <v>7</v>
      </c>
    </row>
    <row r="77" spans="1:3" x14ac:dyDescent="0.35">
      <c r="A77">
        <v>2</v>
      </c>
      <c r="B77">
        <v>2</v>
      </c>
      <c r="C77">
        <v>1</v>
      </c>
    </row>
    <row r="78" spans="1:3" x14ac:dyDescent="0.35">
      <c r="A78">
        <v>2</v>
      </c>
      <c r="B78">
        <v>1</v>
      </c>
      <c r="C78">
        <v>1</v>
      </c>
    </row>
    <row r="79" spans="1:3" x14ac:dyDescent="0.35">
      <c r="A79">
        <v>2</v>
      </c>
      <c r="B79">
        <v>2</v>
      </c>
      <c r="C79">
        <v>1</v>
      </c>
    </row>
    <row r="80" spans="1:3" x14ac:dyDescent="0.35">
      <c r="A80">
        <v>2</v>
      </c>
      <c r="B80">
        <v>1</v>
      </c>
      <c r="C80">
        <v>1</v>
      </c>
    </row>
    <row r="81" spans="1:3" x14ac:dyDescent="0.35">
      <c r="A81">
        <v>2</v>
      </c>
      <c r="B81">
        <v>2</v>
      </c>
      <c r="C81">
        <v>7</v>
      </c>
    </row>
    <row r="82" spans="1:3" x14ac:dyDescent="0.35">
      <c r="A82">
        <v>2</v>
      </c>
      <c r="B82">
        <v>1</v>
      </c>
      <c r="C82">
        <v>1</v>
      </c>
    </row>
    <row r="83" spans="1:3" x14ac:dyDescent="0.35">
      <c r="A83">
        <v>2</v>
      </c>
      <c r="B83">
        <v>2</v>
      </c>
      <c r="C83">
        <v>1</v>
      </c>
    </row>
    <row r="84" spans="1:3" x14ac:dyDescent="0.35">
      <c r="A84">
        <v>2</v>
      </c>
      <c r="B84">
        <v>1</v>
      </c>
      <c r="C84">
        <v>1</v>
      </c>
    </row>
    <row r="85" spans="1:3" x14ac:dyDescent="0.35">
      <c r="A85">
        <v>2</v>
      </c>
      <c r="B85">
        <v>2</v>
      </c>
      <c r="C85">
        <v>1</v>
      </c>
    </row>
    <row r="86" spans="1:3" x14ac:dyDescent="0.35">
      <c r="A86">
        <v>2</v>
      </c>
      <c r="B86">
        <v>2</v>
      </c>
      <c r="C86">
        <v>1</v>
      </c>
    </row>
    <row r="87" spans="1:3" x14ac:dyDescent="0.35">
      <c r="A87">
        <v>2</v>
      </c>
      <c r="B87">
        <v>2</v>
      </c>
      <c r="C87">
        <v>1</v>
      </c>
    </row>
    <row r="88" spans="1:3" x14ac:dyDescent="0.35">
      <c r="A88">
        <v>2</v>
      </c>
      <c r="B88">
        <v>2</v>
      </c>
      <c r="C88">
        <v>1</v>
      </c>
    </row>
    <row r="89" spans="1:3" x14ac:dyDescent="0.35">
      <c r="A89">
        <v>2</v>
      </c>
      <c r="B89">
        <v>1</v>
      </c>
      <c r="C89">
        <v>1</v>
      </c>
    </row>
    <row r="90" spans="1:3" x14ac:dyDescent="0.35">
      <c r="A90">
        <v>2</v>
      </c>
      <c r="B90">
        <v>1</v>
      </c>
      <c r="C90">
        <v>6</v>
      </c>
    </row>
    <row r="91" spans="1:3" x14ac:dyDescent="0.35">
      <c r="A91">
        <v>2</v>
      </c>
      <c r="B91">
        <v>2</v>
      </c>
      <c r="C91">
        <v>1</v>
      </c>
    </row>
    <row r="92" spans="1:3" x14ac:dyDescent="0.35">
      <c r="A92">
        <v>2</v>
      </c>
      <c r="B92">
        <v>2</v>
      </c>
      <c r="C92">
        <v>1</v>
      </c>
    </row>
    <row r="93" spans="1:3" x14ac:dyDescent="0.35">
      <c r="A93">
        <v>2</v>
      </c>
      <c r="B93">
        <v>2</v>
      </c>
      <c r="C93">
        <v>1</v>
      </c>
    </row>
    <row r="94" spans="1:3" x14ac:dyDescent="0.35">
      <c r="A94">
        <v>2</v>
      </c>
      <c r="B94">
        <v>2</v>
      </c>
      <c r="C94">
        <v>1</v>
      </c>
    </row>
    <row r="95" spans="1:3" x14ac:dyDescent="0.35">
      <c r="A95">
        <v>2</v>
      </c>
      <c r="B95">
        <v>2</v>
      </c>
      <c r="C95">
        <v>1</v>
      </c>
    </row>
    <row r="96" spans="1:3" x14ac:dyDescent="0.35">
      <c r="A96">
        <v>2</v>
      </c>
      <c r="B96">
        <v>2</v>
      </c>
      <c r="C96">
        <v>1</v>
      </c>
    </row>
    <row r="97" spans="1:3" x14ac:dyDescent="0.35">
      <c r="A97">
        <v>2</v>
      </c>
      <c r="B97">
        <v>2</v>
      </c>
      <c r="C97">
        <v>1</v>
      </c>
    </row>
    <row r="98" spans="1:3" x14ac:dyDescent="0.35">
      <c r="A98">
        <v>2</v>
      </c>
      <c r="B98">
        <v>2</v>
      </c>
      <c r="C98">
        <v>1</v>
      </c>
    </row>
    <row r="99" spans="1:3" x14ac:dyDescent="0.35">
      <c r="A99">
        <v>2</v>
      </c>
      <c r="B99">
        <v>2</v>
      </c>
      <c r="C99">
        <v>1</v>
      </c>
    </row>
    <row r="100" spans="1:3" x14ac:dyDescent="0.35">
      <c r="A100">
        <v>2</v>
      </c>
      <c r="B100">
        <v>2</v>
      </c>
      <c r="C100">
        <v>1</v>
      </c>
    </row>
    <row r="101" spans="1:3" x14ac:dyDescent="0.35">
      <c r="A101">
        <v>2</v>
      </c>
      <c r="B101">
        <v>1</v>
      </c>
      <c r="C101">
        <v>1</v>
      </c>
    </row>
    <row r="102" spans="1:3" x14ac:dyDescent="0.35">
      <c r="A102">
        <v>2</v>
      </c>
      <c r="B102">
        <v>1</v>
      </c>
      <c r="C102">
        <v>5</v>
      </c>
    </row>
    <row r="103" spans="1:3" x14ac:dyDescent="0.35">
      <c r="A103">
        <v>2</v>
      </c>
      <c r="B103">
        <v>1</v>
      </c>
      <c r="C103">
        <v>1</v>
      </c>
    </row>
    <row r="104" spans="1:3" x14ac:dyDescent="0.35">
      <c r="A104">
        <v>2</v>
      </c>
      <c r="B104">
        <v>1</v>
      </c>
      <c r="C104">
        <v>1</v>
      </c>
    </row>
    <row r="105" spans="1:3" x14ac:dyDescent="0.35">
      <c r="A105">
        <v>2</v>
      </c>
      <c r="B105">
        <v>2</v>
      </c>
      <c r="C105">
        <v>1</v>
      </c>
    </row>
    <row r="106" spans="1:3" x14ac:dyDescent="0.35">
      <c r="A106">
        <v>2</v>
      </c>
      <c r="B106">
        <v>2</v>
      </c>
      <c r="C106">
        <v>1</v>
      </c>
    </row>
    <row r="107" spans="1:3" x14ac:dyDescent="0.35">
      <c r="A107">
        <v>2</v>
      </c>
      <c r="B107">
        <v>0</v>
      </c>
      <c r="C107">
        <v>0</v>
      </c>
    </row>
    <row r="108" spans="1:3" x14ac:dyDescent="0.35">
      <c r="A108">
        <v>2</v>
      </c>
      <c r="B108">
        <v>1</v>
      </c>
      <c r="C108">
        <v>1</v>
      </c>
    </row>
    <row r="109" spans="1:3" x14ac:dyDescent="0.35">
      <c r="A109">
        <v>2</v>
      </c>
      <c r="B109">
        <v>2</v>
      </c>
      <c r="C109">
        <v>1</v>
      </c>
    </row>
    <row r="110" spans="1:3" x14ac:dyDescent="0.35">
      <c r="A110">
        <v>2</v>
      </c>
      <c r="B110">
        <v>1</v>
      </c>
      <c r="C110">
        <v>1</v>
      </c>
    </row>
    <row r="111" spans="1:3" x14ac:dyDescent="0.35">
      <c r="A111">
        <v>2</v>
      </c>
      <c r="B111">
        <v>2</v>
      </c>
      <c r="C111">
        <v>1</v>
      </c>
    </row>
    <row r="112" spans="1:3" x14ac:dyDescent="0.35">
      <c r="A112">
        <v>2</v>
      </c>
      <c r="B112">
        <v>2</v>
      </c>
      <c r="C112">
        <v>1</v>
      </c>
    </row>
    <row r="113" spans="1:3" x14ac:dyDescent="0.35">
      <c r="A113">
        <v>2</v>
      </c>
      <c r="B113">
        <v>2</v>
      </c>
      <c r="C113">
        <v>1</v>
      </c>
    </row>
    <row r="114" spans="1:3" x14ac:dyDescent="0.35">
      <c r="A114">
        <v>2</v>
      </c>
      <c r="B114">
        <v>1</v>
      </c>
      <c r="C114">
        <v>1</v>
      </c>
    </row>
    <row r="115" spans="1:3" x14ac:dyDescent="0.35">
      <c r="A115">
        <v>2</v>
      </c>
      <c r="B115">
        <v>3</v>
      </c>
      <c r="C115">
        <v>3</v>
      </c>
    </row>
    <row r="116" spans="1:3" x14ac:dyDescent="0.35">
      <c r="A116">
        <v>0</v>
      </c>
      <c r="B116">
        <v>2</v>
      </c>
      <c r="C116">
        <v>1</v>
      </c>
    </row>
    <row r="117" spans="1:3" x14ac:dyDescent="0.35">
      <c r="A117">
        <v>2</v>
      </c>
      <c r="B117">
        <v>2</v>
      </c>
      <c r="C117">
        <v>1</v>
      </c>
    </row>
    <row r="118" spans="1:3" x14ac:dyDescent="0.35">
      <c r="A118">
        <v>2</v>
      </c>
      <c r="B118">
        <v>1</v>
      </c>
      <c r="C118">
        <v>1</v>
      </c>
    </row>
    <row r="119" spans="1:3" x14ac:dyDescent="0.35">
      <c r="A119">
        <v>0</v>
      </c>
      <c r="B119">
        <v>1</v>
      </c>
      <c r="C119">
        <v>1</v>
      </c>
    </row>
    <row r="120" spans="1:3" x14ac:dyDescent="0.35">
      <c r="A120">
        <v>2</v>
      </c>
      <c r="B120">
        <v>2</v>
      </c>
      <c r="C120">
        <v>1</v>
      </c>
    </row>
    <row r="121" spans="1:3" x14ac:dyDescent="0.35">
      <c r="A121">
        <v>2</v>
      </c>
      <c r="B121">
        <v>1</v>
      </c>
      <c r="C121">
        <v>3</v>
      </c>
    </row>
    <row r="122" spans="1:3" x14ac:dyDescent="0.35">
      <c r="A122">
        <v>2</v>
      </c>
      <c r="B122">
        <v>1</v>
      </c>
      <c r="C122">
        <v>1</v>
      </c>
    </row>
    <row r="123" spans="1:3" x14ac:dyDescent="0.35">
      <c r="A123">
        <v>2</v>
      </c>
      <c r="B123">
        <v>1</v>
      </c>
      <c r="C123">
        <v>1</v>
      </c>
    </row>
    <row r="124" spans="1:3" x14ac:dyDescent="0.35">
      <c r="A124">
        <v>2</v>
      </c>
      <c r="B124">
        <v>1</v>
      </c>
      <c r="C124">
        <v>1</v>
      </c>
    </row>
    <row r="125" spans="1:3" x14ac:dyDescent="0.35">
      <c r="A125">
        <v>0</v>
      </c>
      <c r="B125">
        <v>2</v>
      </c>
      <c r="C125">
        <v>3</v>
      </c>
    </row>
    <row r="126" spans="1:3" x14ac:dyDescent="0.35">
      <c r="A126">
        <v>2</v>
      </c>
      <c r="B126">
        <v>1</v>
      </c>
      <c r="C126">
        <v>1</v>
      </c>
    </row>
    <row r="127" spans="1:3" x14ac:dyDescent="0.35">
      <c r="A127">
        <v>2</v>
      </c>
      <c r="B127">
        <v>1</v>
      </c>
      <c r="C127">
        <v>1</v>
      </c>
    </row>
    <row r="128" spans="1:3" x14ac:dyDescent="0.35">
      <c r="A128">
        <v>2</v>
      </c>
      <c r="B128">
        <v>2</v>
      </c>
      <c r="C128">
        <v>1</v>
      </c>
    </row>
    <row r="129" spans="1:3" x14ac:dyDescent="0.35">
      <c r="A129">
        <v>2</v>
      </c>
      <c r="B129">
        <v>1</v>
      </c>
      <c r="C129">
        <v>1</v>
      </c>
    </row>
    <row r="130" spans="1:3" x14ac:dyDescent="0.35">
      <c r="A130">
        <v>2</v>
      </c>
      <c r="B130">
        <v>1</v>
      </c>
      <c r="C130">
        <v>1</v>
      </c>
    </row>
    <row r="131" spans="1:3" x14ac:dyDescent="0.35">
      <c r="A131">
        <v>2</v>
      </c>
      <c r="B131">
        <v>2</v>
      </c>
      <c r="C131">
        <v>1</v>
      </c>
    </row>
    <row r="132" spans="1:3" x14ac:dyDescent="0.35">
      <c r="A132">
        <v>2</v>
      </c>
      <c r="B132">
        <v>1</v>
      </c>
      <c r="C132">
        <v>6</v>
      </c>
    </row>
    <row r="133" spans="1:3" x14ac:dyDescent="0.35">
      <c r="A133">
        <v>2</v>
      </c>
      <c r="B133">
        <v>2</v>
      </c>
      <c r="C133">
        <v>6</v>
      </c>
    </row>
    <row r="134" spans="1:3" x14ac:dyDescent="0.35">
      <c r="A134">
        <v>2</v>
      </c>
      <c r="B134">
        <v>2</v>
      </c>
      <c r="C134">
        <v>1</v>
      </c>
    </row>
    <row r="135" spans="1:3" x14ac:dyDescent="0.35">
      <c r="A135">
        <v>2</v>
      </c>
      <c r="B135">
        <v>0</v>
      </c>
      <c r="C135">
        <v>0</v>
      </c>
    </row>
    <row r="136" spans="1:3" x14ac:dyDescent="0.35">
      <c r="A136">
        <v>2</v>
      </c>
      <c r="B136">
        <v>3</v>
      </c>
      <c r="C136">
        <v>3</v>
      </c>
    </row>
    <row r="137" spans="1:3" x14ac:dyDescent="0.35">
      <c r="A137">
        <v>2</v>
      </c>
      <c r="B137">
        <v>1</v>
      </c>
      <c r="C137">
        <v>1</v>
      </c>
    </row>
    <row r="138" spans="1:3" x14ac:dyDescent="0.35">
      <c r="A138">
        <v>2</v>
      </c>
      <c r="B138">
        <v>1</v>
      </c>
      <c r="C138">
        <v>1</v>
      </c>
    </row>
    <row r="139" spans="1:3" x14ac:dyDescent="0.35">
      <c r="A139">
        <v>2</v>
      </c>
      <c r="B139">
        <v>2</v>
      </c>
      <c r="C139">
        <v>1</v>
      </c>
    </row>
    <row r="140" spans="1:3" x14ac:dyDescent="0.35">
      <c r="A140">
        <v>2</v>
      </c>
      <c r="B140">
        <v>1</v>
      </c>
      <c r="C140">
        <v>1</v>
      </c>
    </row>
    <row r="141" spans="1:3" x14ac:dyDescent="0.35">
      <c r="A141">
        <v>2</v>
      </c>
      <c r="B141">
        <v>1</v>
      </c>
      <c r="C141">
        <v>1</v>
      </c>
    </row>
    <row r="142" spans="1:3" x14ac:dyDescent="0.35">
      <c r="A142">
        <v>1</v>
      </c>
      <c r="B142">
        <v>1</v>
      </c>
      <c r="C142">
        <v>7</v>
      </c>
    </row>
    <row r="143" spans="1:3" x14ac:dyDescent="0.35">
      <c r="A143">
        <v>1</v>
      </c>
      <c r="B143">
        <v>2</v>
      </c>
      <c r="C143">
        <v>1</v>
      </c>
    </row>
    <row r="144" spans="1:3" x14ac:dyDescent="0.35">
      <c r="A144">
        <v>2</v>
      </c>
      <c r="B144">
        <v>2</v>
      </c>
      <c r="C144">
        <v>1</v>
      </c>
    </row>
    <row r="145" spans="1:3" x14ac:dyDescent="0.35">
      <c r="A145">
        <v>1</v>
      </c>
      <c r="B145">
        <v>2</v>
      </c>
      <c r="C145">
        <v>1</v>
      </c>
    </row>
    <row r="146" spans="1:3" x14ac:dyDescent="0.35">
      <c r="A146">
        <v>2</v>
      </c>
      <c r="B146">
        <v>2</v>
      </c>
      <c r="C146">
        <v>1</v>
      </c>
    </row>
    <row r="147" spans="1:3" x14ac:dyDescent="0.35">
      <c r="A147">
        <v>1</v>
      </c>
      <c r="B147">
        <v>2</v>
      </c>
      <c r="C147">
        <v>1</v>
      </c>
    </row>
    <row r="148" spans="1:3" x14ac:dyDescent="0.35">
      <c r="A148">
        <v>1</v>
      </c>
      <c r="B148">
        <v>2</v>
      </c>
      <c r="C148">
        <v>0</v>
      </c>
    </row>
    <row r="149" spans="1:3" x14ac:dyDescent="0.35">
      <c r="A149">
        <v>2</v>
      </c>
      <c r="B149">
        <v>2</v>
      </c>
      <c r="C149">
        <v>1</v>
      </c>
    </row>
    <row r="150" spans="1:3" x14ac:dyDescent="0.35">
      <c r="A150">
        <v>2</v>
      </c>
      <c r="B150">
        <v>3</v>
      </c>
      <c r="C150">
        <v>1</v>
      </c>
    </row>
    <row r="151" spans="1:3" x14ac:dyDescent="0.35">
      <c r="A151">
        <v>2</v>
      </c>
      <c r="B151">
        <v>3</v>
      </c>
      <c r="C151">
        <v>3</v>
      </c>
    </row>
    <row r="152" spans="1:3" x14ac:dyDescent="0.35">
      <c r="A152">
        <v>2</v>
      </c>
      <c r="B152">
        <v>1</v>
      </c>
      <c r="C152">
        <v>3</v>
      </c>
    </row>
    <row r="153" spans="1:3" x14ac:dyDescent="0.35">
      <c r="A153">
        <v>1</v>
      </c>
      <c r="B153">
        <v>1</v>
      </c>
      <c r="C153">
        <v>3</v>
      </c>
    </row>
  </sheetData>
  <autoFilter ref="A1:B153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3070D-7D12-4CDA-B3EE-D66BE3AFF6D6}">
  <dimension ref="A1:U59"/>
  <sheetViews>
    <sheetView tabSelected="1" topLeftCell="O49" workbookViewId="0">
      <selection activeCell="AB49" sqref="AB49"/>
    </sheetView>
  </sheetViews>
  <sheetFormatPr defaultRowHeight="14.5" x14ac:dyDescent="0.35"/>
  <cols>
    <col min="8" max="8" width="12.81640625" customWidth="1"/>
    <col min="9" max="9" width="16" customWidth="1"/>
    <col min="10" max="10" width="11.36328125" customWidth="1"/>
    <col min="12" max="12" width="11.36328125" customWidth="1"/>
    <col min="18" max="18" width="12.1796875" customWidth="1"/>
    <col min="19" max="19" width="16" customWidth="1"/>
    <col min="20" max="20" width="12.81640625" bestFit="1" customWidth="1"/>
    <col min="21" max="21" width="12.90625" bestFit="1" customWidth="1"/>
  </cols>
  <sheetData>
    <row r="1" spans="1:21" ht="15" thickBot="1" x14ac:dyDescent="0.4"/>
    <row r="2" spans="1:21" ht="46" thickTop="1" thickBot="1" x14ac:dyDescent="0.4">
      <c r="A2" s="98" t="s">
        <v>83</v>
      </c>
      <c r="B2" s="98"/>
      <c r="C2" s="98"/>
      <c r="D2" s="98"/>
      <c r="E2" s="98"/>
      <c r="F2" s="98"/>
      <c r="G2" s="1"/>
      <c r="T2" s="21" t="s">
        <v>83</v>
      </c>
      <c r="U2" s="2" t="s">
        <v>84</v>
      </c>
    </row>
    <row r="3" spans="1:21" ht="25" thickTop="1" thickBot="1" x14ac:dyDescent="0.4">
      <c r="A3" s="99"/>
      <c r="B3" s="100"/>
      <c r="C3" s="2" t="s">
        <v>84</v>
      </c>
      <c r="D3" s="3" t="s">
        <v>85</v>
      </c>
      <c r="E3" s="3" t="s">
        <v>86</v>
      </c>
      <c r="F3" s="4" t="s">
        <v>87</v>
      </c>
      <c r="G3" s="1"/>
      <c r="H3" s="21" t="s">
        <v>83</v>
      </c>
      <c r="I3" s="3" t="s">
        <v>90</v>
      </c>
      <c r="T3" s="6" t="s">
        <v>49</v>
      </c>
      <c r="U3" s="7">
        <v>1</v>
      </c>
    </row>
    <row r="4" spans="1:21" ht="23.5" thickTop="1" x14ac:dyDescent="0.35">
      <c r="A4" s="101" t="s">
        <v>88</v>
      </c>
      <c r="B4" s="6" t="s">
        <v>49</v>
      </c>
      <c r="C4" s="7">
        <v>1</v>
      </c>
      <c r="D4" s="8">
        <v>0.65789473684210531</v>
      </c>
      <c r="E4" s="8">
        <v>0.65789473684210531</v>
      </c>
      <c r="F4" s="9">
        <v>0.65789473684210531</v>
      </c>
      <c r="G4" s="1"/>
      <c r="H4" s="6" t="s">
        <v>49</v>
      </c>
      <c r="I4" s="22">
        <v>7.0000000000000001E-3</v>
      </c>
      <c r="T4" s="11" t="s">
        <v>35</v>
      </c>
      <c r="U4" s="12">
        <v>50</v>
      </c>
    </row>
    <row r="5" spans="1:21" x14ac:dyDescent="0.35">
      <c r="A5" s="102"/>
      <c r="B5" s="11" t="s">
        <v>35</v>
      </c>
      <c r="C5" s="12">
        <v>50</v>
      </c>
      <c r="D5" s="13">
        <v>32.89473684210526</v>
      </c>
      <c r="E5" s="13">
        <v>32.89473684210526</v>
      </c>
      <c r="F5" s="14">
        <v>33.55263157894737</v>
      </c>
      <c r="G5" s="1"/>
      <c r="H5" s="11" t="s">
        <v>35</v>
      </c>
      <c r="I5" s="22">
        <v>0.32900000000000001</v>
      </c>
      <c r="T5" s="11" t="s">
        <v>56</v>
      </c>
      <c r="U5" s="12">
        <v>1</v>
      </c>
    </row>
    <row r="6" spans="1:21" x14ac:dyDescent="0.35">
      <c r="A6" s="102"/>
      <c r="B6" s="11" t="s">
        <v>56</v>
      </c>
      <c r="C6" s="12">
        <v>1</v>
      </c>
      <c r="D6" s="15">
        <v>0.65789473684210531</v>
      </c>
      <c r="E6" s="15">
        <v>0.65789473684210531</v>
      </c>
      <c r="F6" s="14">
        <v>34.210526315789473</v>
      </c>
      <c r="G6" s="1"/>
      <c r="H6" s="11" t="s">
        <v>56</v>
      </c>
      <c r="I6" s="22">
        <v>7.0000000000000001E-3</v>
      </c>
      <c r="T6" s="11" t="s">
        <v>54</v>
      </c>
      <c r="U6" s="12">
        <v>1</v>
      </c>
    </row>
    <row r="7" spans="1:21" ht="23" x14ac:dyDescent="0.35">
      <c r="A7" s="102"/>
      <c r="B7" s="11" t="s">
        <v>54</v>
      </c>
      <c r="C7" s="12">
        <v>1</v>
      </c>
      <c r="D7" s="15">
        <v>0.65789473684210531</v>
      </c>
      <c r="E7" s="15">
        <v>0.65789473684210531</v>
      </c>
      <c r="F7" s="14">
        <v>34.868421052631582</v>
      </c>
      <c r="G7" s="1"/>
      <c r="H7" s="11" t="s">
        <v>54</v>
      </c>
      <c r="I7" s="22">
        <v>7.0000000000000001E-3</v>
      </c>
      <c r="T7" s="11" t="s">
        <v>41</v>
      </c>
      <c r="U7" s="12">
        <v>1</v>
      </c>
    </row>
    <row r="8" spans="1:21" x14ac:dyDescent="0.35">
      <c r="A8" s="102"/>
      <c r="B8" s="11" t="s">
        <v>41</v>
      </c>
      <c r="C8" s="12">
        <v>1</v>
      </c>
      <c r="D8" s="15">
        <v>0.65789473684210531</v>
      </c>
      <c r="E8" s="15">
        <v>0.65789473684210531</v>
      </c>
      <c r="F8" s="14">
        <v>35.526315789473685</v>
      </c>
      <c r="G8" s="1"/>
      <c r="H8" s="11" t="s">
        <v>41</v>
      </c>
      <c r="I8" s="22">
        <v>7.0000000000000001E-3</v>
      </c>
      <c r="T8" s="11" t="s">
        <v>50</v>
      </c>
      <c r="U8" s="12">
        <v>1</v>
      </c>
    </row>
    <row r="9" spans="1:21" x14ac:dyDescent="0.35">
      <c r="A9" s="102"/>
      <c r="B9" s="11" t="s">
        <v>50</v>
      </c>
      <c r="C9" s="12">
        <v>1</v>
      </c>
      <c r="D9" s="15">
        <v>0.65789473684210531</v>
      </c>
      <c r="E9" s="15">
        <v>0.65789473684210531</v>
      </c>
      <c r="F9" s="14">
        <v>36.184210526315788</v>
      </c>
      <c r="G9" s="1"/>
      <c r="H9" s="11" t="s">
        <v>50</v>
      </c>
      <c r="I9" s="22">
        <v>7.0000000000000001E-3</v>
      </c>
      <c r="T9" s="11" t="s">
        <v>45</v>
      </c>
      <c r="U9" s="12">
        <v>1</v>
      </c>
    </row>
    <row r="10" spans="1:21" x14ac:dyDescent="0.35">
      <c r="A10" s="102"/>
      <c r="B10" s="11" t="s">
        <v>45</v>
      </c>
      <c r="C10" s="12">
        <v>1</v>
      </c>
      <c r="D10" s="15">
        <v>0.65789473684210531</v>
      </c>
      <c r="E10" s="15">
        <v>0.65789473684210531</v>
      </c>
      <c r="F10" s="14">
        <v>36.842105263157897</v>
      </c>
      <c r="G10" s="1"/>
      <c r="H10" s="11" t="s">
        <v>45</v>
      </c>
      <c r="I10" s="22">
        <v>7.0000000000000001E-3</v>
      </c>
      <c r="T10" s="11" t="s">
        <v>36</v>
      </c>
      <c r="U10" s="12">
        <v>3</v>
      </c>
    </row>
    <row r="11" spans="1:21" x14ac:dyDescent="0.35">
      <c r="A11" s="102"/>
      <c r="B11" s="11" t="s">
        <v>36</v>
      </c>
      <c r="C11" s="12">
        <v>3</v>
      </c>
      <c r="D11" s="13">
        <v>1.9736842105263157</v>
      </c>
      <c r="E11" s="13">
        <v>1.9736842105263157</v>
      </c>
      <c r="F11" s="14">
        <v>38.815789473684212</v>
      </c>
      <c r="G11" s="1"/>
      <c r="H11" s="11" t="s">
        <v>36</v>
      </c>
      <c r="I11" s="22">
        <v>0.02</v>
      </c>
      <c r="T11" s="11" t="s">
        <v>66</v>
      </c>
      <c r="U11" s="12">
        <v>1</v>
      </c>
    </row>
    <row r="12" spans="1:21" x14ac:dyDescent="0.35">
      <c r="A12" s="102"/>
      <c r="B12" s="11" t="s">
        <v>66</v>
      </c>
      <c r="C12" s="12">
        <v>1</v>
      </c>
      <c r="D12" s="15">
        <v>0.65789473684210531</v>
      </c>
      <c r="E12" s="15">
        <v>0.65789473684210531</v>
      </c>
      <c r="F12" s="14">
        <v>39.473684210526315</v>
      </c>
      <c r="G12" s="1"/>
      <c r="H12" s="11" t="s">
        <v>66</v>
      </c>
      <c r="I12" s="22">
        <v>7.0000000000000001E-3</v>
      </c>
      <c r="T12" s="11" t="s">
        <v>47</v>
      </c>
      <c r="U12" s="12">
        <v>1</v>
      </c>
    </row>
    <row r="13" spans="1:21" x14ac:dyDescent="0.35">
      <c r="A13" s="102"/>
      <c r="B13" s="11" t="s">
        <v>47</v>
      </c>
      <c r="C13" s="12">
        <v>1</v>
      </c>
      <c r="D13" s="15">
        <v>0.65789473684210531</v>
      </c>
      <c r="E13" s="15">
        <v>0.65789473684210531</v>
      </c>
      <c r="F13" s="14">
        <v>40.131578947368418</v>
      </c>
      <c r="G13" s="1"/>
      <c r="H13" s="11" t="s">
        <v>47</v>
      </c>
      <c r="I13" s="22">
        <v>7.0000000000000001E-3</v>
      </c>
      <c r="T13" s="11" t="s">
        <v>72</v>
      </c>
      <c r="U13" s="12">
        <v>1</v>
      </c>
    </row>
    <row r="14" spans="1:21" x14ac:dyDescent="0.35">
      <c r="A14" s="102"/>
      <c r="B14" s="11" t="s">
        <v>72</v>
      </c>
      <c r="C14" s="12">
        <v>1</v>
      </c>
      <c r="D14" s="15">
        <v>0.65789473684210531</v>
      </c>
      <c r="E14" s="15">
        <v>0.65789473684210531</v>
      </c>
      <c r="F14" s="14">
        <v>40.789473684210527</v>
      </c>
      <c r="G14" s="1"/>
      <c r="H14" s="11" t="s">
        <v>72</v>
      </c>
      <c r="I14" s="22">
        <v>7.0000000000000001E-3</v>
      </c>
      <c r="T14" s="11" t="s">
        <v>55</v>
      </c>
      <c r="U14" s="12">
        <v>1</v>
      </c>
    </row>
    <row r="15" spans="1:21" ht="23" x14ac:dyDescent="0.35">
      <c r="A15" s="102"/>
      <c r="B15" s="11" t="s">
        <v>55</v>
      </c>
      <c r="C15" s="12">
        <v>1</v>
      </c>
      <c r="D15" s="15">
        <v>0.65789473684210531</v>
      </c>
      <c r="E15" s="15">
        <v>0.65789473684210531</v>
      </c>
      <c r="F15" s="14">
        <v>41.44736842105263</v>
      </c>
      <c r="G15" s="1"/>
      <c r="H15" s="11" t="s">
        <v>55</v>
      </c>
      <c r="I15" s="22">
        <v>7.0000000000000001E-3</v>
      </c>
      <c r="T15" s="11" t="s">
        <v>18</v>
      </c>
      <c r="U15" s="12">
        <v>41</v>
      </c>
    </row>
    <row r="16" spans="1:21" x14ac:dyDescent="0.35">
      <c r="A16" s="102"/>
      <c r="B16" s="11" t="s">
        <v>18</v>
      </c>
      <c r="C16" s="12">
        <v>41</v>
      </c>
      <c r="D16" s="13">
        <v>26.973684210526315</v>
      </c>
      <c r="E16" s="13">
        <v>26.973684210526315</v>
      </c>
      <c r="F16" s="14">
        <v>68.421052631578945</v>
      </c>
      <c r="G16" s="1"/>
      <c r="H16" s="11" t="s">
        <v>18</v>
      </c>
      <c r="I16" s="22">
        <v>0.27</v>
      </c>
      <c r="T16" s="11" t="s">
        <v>42</v>
      </c>
      <c r="U16" s="12">
        <v>2</v>
      </c>
    </row>
    <row r="17" spans="1:21" x14ac:dyDescent="0.35">
      <c r="A17" s="102"/>
      <c r="B17" s="11" t="s">
        <v>42</v>
      </c>
      <c r="C17" s="12">
        <v>2</v>
      </c>
      <c r="D17" s="13">
        <v>1.3157894736842106</v>
      </c>
      <c r="E17" s="13">
        <v>1.3157894736842106</v>
      </c>
      <c r="F17" s="14">
        <v>69.736842105263165</v>
      </c>
      <c r="G17" s="1"/>
      <c r="H17" s="11" t="s">
        <v>42</v>
      </c>
      <c r="I17" s="22">
        <v>1.2999999999999999E-2</v>
      </c>
      <c r="T17" s="11" t="s">
        <v>44</v>
      </c>
      <c r="U17" s="12">
        <v>2</v>
      </c>
    </row>
    <row r="18" spans="1:21" x14ac:dyDescent="0.35">
      <c r="A18" s="102"/>
      <c r="B18" s="11" t="s">
        <v>44</v>
      </c>
      <c r="C18" s="12">
        <v>2</v>
      </c>
      <c r="D18" s="13">
        <v>1.3157894736842106</v>
      </c>
      <c r="E18" s="13">
        <v>1.3157894736842106</v>
      </c>
      <c r="F18" s="14">
        <v>71.05263157894737</v>
      </c>
      <c r="G18" s="1"/>
      <c r="H18" s="11" t="s">
        <v>44</v>
      </c>
      <c r="I18" s="22">
        <v>1.2999999999999999E-2</v>
      </c>
      <c r="T18" s="11" t="s">
        <v>48</v>
      </c>
      <c r="U18" s="12">
        <v>3</v>
      </c>
    </row>
    <row r="19" spans="1:21" ht="23" x14ac:dyDescent="0.35">
      <c r="A19" s="102"/>
      <c r="B19" s="11" t="s">
        <v>48</v>
      </c>
      <c r="C19" s="12">
        <v>3</v>
      </c>
      <c r="D19" s="13">
        <v>1.9736842105263157</v>
      </c>
      <c r="E19" s="13">
        <v>1.9736842105263157</v>
      </c>
      <c r="F19" s="14">
        <v>73.026315789473685</v>
      </c>
      <c r="G19" s="1"/>
      <c r="H19" s="11" t="s">
        <v>48</v>
      </c>
      <c r="I19" s="22">
        <v>0.02</v>
      </c>
      <c r="T19" s="11" t="s">
        <v>34</v>
      </c>
      <c r="U19" s="12">
        <v>40</v>
      </c>
    </row>
    <row r="20" spans="1:21" x14ac:dyDescent="0.35">
      <c r="A20" s="102"/>
      <c r="B20" s="11" t="s">
        <v>34</v>
      </c>
      <c r="C20" s="12">
        <v>40</v>
      </c>
      <c r="D20" s="13">
        <v>26.315789473684209</v>
      </c>
      <c r="E20" s="13">
        <v>26.315789473684209</v>
      </c>
      <c r="F20" s="14">
        <v>99.34210526315789</v>
      </c>
      <c r="G20" s="1"/>
      <c r="H20" s="11" t="s">
        <v>34</v>
      </c>
      <c r="I20" s="22">
        <v>0.26300000000000001</v>
      </c>
      <c r="T20" s="11" t="s">
        <v>69</v>
      </c>
      <c r="U20" s="12">
        <v>1</v>
      </c>
    </row>
    <row r="21" spans="1:21" x14ac:dyDescent="0.35">
      <c r="A21" s="102"/>
      <c r="B21" s="11" t="s">
        <v>69</v>
      </c>
      <c r="C21" s="12">
        <v>1</v>
      </c>
      <c r="D21" s="15">
        <v>0.65789473684210531</v>
      </c>
      <c r="E21" s="15">
        <v>0.65789473684210531</v>
      </c>
      <c r="F21" s="14">
        <v>100</v>
      </c>
      <c r="G21" s="1"/>
      <c r="H21" s="11" t="s">
        <v>69</v>
      </c>
      <c r="I21" s="22">
        <v>7.0000000000000001E-3</v>
      </c>
    </row>
    <row r="22" spans="1:21" ht="15" thickBot="1" x14ac:dyDescent="0.4">
      <c r="A22" s="103"/>
      <c r="B22" s="17" t="s">
        <v>89</v>
      </c>
      <c r="C22" s="18">
        <v>152</v>
      </c>
      <c r="D22" s="19">
        <v>100</v>
      </c>
      <c r="E22" s="19">
        <v>100</v>
      </c>
      <c r="F22" s="20"/>
      <c r="G22" s="1"/>
    </row>
    <row r="27" spans="1:21" ht="92" x14ac:dyDescent="2">
      <c r="L27" s="52" t="s">
        <v>91</v>
      </c>
    </row>
    <row r="29" spans="1:21" ht="15" thickBot="1" x14ac:dyDescent="0.4">
      <c r="A29" s="105" t="s">
        <v>92</v>
      </c>
      <c r="B29" s="105"/>
      <c r="C29" s="105"/>
      <c r="D29" s="105"/>
      <c r="E29" s="105"/>
      <c r="F29" s="105"/>
      <c r="G29" s="1"/>
    </row>
    <row r="30" spans="1:21" ht="25" thickTop="1" thickBot="1" x14ac:dyDescent="0.4">
      <c r="A30" s="99"/>
      <c r="B30" s="100"/>
      <c r="C30" s="2" t="s">
        <v>84</v>
      </c>
      <c r="D30" s="3" t="s">
        <v>85</v>
      </c>
      <c r="E30" s="3" t="s">
        <v>86</v>
      </c>
      <c r="F30" s="4" t="s">
        <v>87</v>
      </c>
      <c r="G30" s="1"/>
      <c r="H30" s="45" t="s">
        <v>92</v>
      </c>
      <c r="I30" s="42" t="s">
        <v>84</v>
      </c>
      <c r="J30" s="34"/>
      <c r="K30" s="41"/>
      <c r="L30" s="42"/>
      <c r="T30" t="s">
        <v>92</v>
      </c>
      <c r="U30" t="s">
        <v>90</v>
      </c>
    </row>
    <row r="31" spans="1:21" ht="15" thickTop="1" x14ac:dyDescent="0.35">
      <c r="A31" s="101" t="s">
        <v>88</v>
      </c>
      <c r="B31" s="6" t="s">
        <v>93</v>
      </c>
      <c r="C31" s="7">
        <v>73</v>
      </c>
      <c r="D31" s="23">
        <v>48.026315789473685</v>
      </c>
      <c r="E31" s="23">
        <v>48.026315789473685</v>
      </c>
      <c r="F31" s="24">
        <v>48.026315789473685</v>
      </c>
      <c r="G31" s="1"/>
      <c r="H31" s="46" t="s">
        <v>98</v>
      </c>
      <c r="I31" s="38">
        <v>73</v>
      </c>
      <c r="J31" s="35"/>
      <c r="K31" s="28"/>
      <c r="L31" s="38"/>
      <c r="T31" s="50" t="s">
        <v>98</v>
      </c>
      <c r="U31" s="25">
        <v>0.48</v>
      </c>
    </row>
    <row r="32" spans="1:21" x14ac:dyDescent="0.35">
      <c r="A32" s="102"/>
      <c r="B32" s="11" t="s">
        <v>94</v>
      </c>
      <c r="C32" s="12">
        <v>41</v>
      </c>
      <c r="D32" s="13">
        <v>26.973684210526315</v>
      </c>
      <c r="E32" s="13">
        <v>26.973684210526315</v>
      </c>
      <c r="F32" s="14">
        <v>75</v>
      </c>
      <c r="G32" s="1"/>
      <c r="H32" s="47" t="s">
        <v>99</v>
      </c>
      <c r="I32" s="39">
        <v>41</v>
      </c>
      <c r="J32" s="37"/>
      <c r="K32" s="30"/>
      <c r="L32" s="39"/>
      <c r="T32" s="51" t="s">
        <v>99</v>
      </c>
      <c r="U32" s="25">
        <v>0.27</v>
      </c>
    </row>
    <row r="33" spans="1:21" x14ac:dyDescent="0.35">
      <c r="A33" s="102"/>
      <c r="B33" s="11" t="s">
        <v>95</v>
      </c>
      <c r="C33" s="12">
        <v>31</v>
      </c>
      <c r="D33" s="13">
        <v>20.394736842105264</v>
      </c>
      <c r="E33" s="13">
        <v>20.394736842105264</v>
      </c>
      <c r="F33" s="14">
        <v>95.39473684210526</v>
      </c>
      <c r="G33" s="1"/>
      <c r="H33" s="48" t="s">
        <v>100</v>
      </c>
      <c r="I33" s="40">
        <v>31</v>
      </c>
      <c r="J33" s="37"/>
      <c r="K33" s="32"/>
      <c r="L33" s="40"/>
      <c r="T33" s="51" t="s">
        <v>100</v>
      </c>
      <c r="U33" s="22">
        <v>0.20399999999999999</v>
      </c>
    </row>
    <row r="34" spans="1:21" x14ac:dyDescent="0.35">
      <c r="A34" s="102"/>
      <c r="B34" s="11" t="s">
        <v>96</v>
      </c>
      <c r="C34" s="12">
        <v>6</v>
      </c>
      <c r="D34" s="13">
        <v>3.9473684210526314</v>
      </c>
      <c r="E34" s="13">
        <v>3.9473684210526314</v>
      </c>
      <c r="F34" s="14">
        <v>99.34210526315789</v>
      </c>
      <c r="G34" s="1"/>
      <c r="H34" s="47" t="s">
        <v>101</v>
      </c>
      <c r="I34" s="39">
        <v>6</v>
      </c>
      <c r="J34" s="37"/>
      <c r="K34" s="30"/>
      <c r="L34" s="39"/>
      <c r="T34" s="51" t="s">
        <v>101</v>
      </c>
      <c r="U34" s="22">
        <v>3.9E-2</v>
      </c>
    </row>
    <row r="35" spans="1:21" x14ac:dyDescent="0.35">
      <c r="A35" s="102"/>
      <c r="B35" s="11" t="s">
        <v>97</v>
      </c>
      <c r="C35" s="12">
        <v>1</v>
      </c>
      <c r="D35" s="15">
        <v>0.65789473684210531</v>
      </c>
      <c r="E35" s="15">
        <v>0.65789473684210531</v>
      </c>
      <c r="F35" s="14">
        <v>100</v>
      </c>
      <c r="G35" s="1"/>
      <c r="H35" s="49" t="s">
        <v>102</v>
      </c>
      <c r="I35" s="44">
        <v>1</v>
      </c>
      <c r="J35" s="37"/>
      <c r="K35" s="43"/>
      <c r="L35" s="44"/>
      <c r="T35" s="51" t="s">
        <v>102</v>
      </c>
      <c r="U35" s="22">
        <v>7.0000000000000001E-3</v>
      </c>
    </row>
    <row r="36" spans="1:21" ht="15" thickBot="1" x14ac:dyDescent="0.4">
      <c r="A36" s="103"/>
      <c r="B36" s="17" t="s">
        <v>89</v>
      </c>
      <c r="C36" s="18">
        <v>152</v>
      </c>
      <c r="D36" s="19">
        <v>100</v>
      </c>
      <c r="E36" s="19">
        <v>100</v>
      </c>
      <c r="F36" s="20"/>
      <c r="G36" s="1"/>
      <c r="H36" s="36"/>
      <c r="I36" s="11"/>
      <c r="J36" s="37"/>
    </row>
    <row r="37" spans="1:21" ht="15" thickTop="1" x14ac:dyDescent="0.35"/>
    <row r="38" spans="1:21" ht="15" thickBot="1" x14ac:dyDescent="0.4"/>
    <row r="39" spans="1:21" ht="15.5" thickTop="1" thickBot="1" x14ac:dyDescent="0.4">
      <c r="I39" s="26"/>
      <c r="J39" s="27"/>
    </row>
    <row r="40" spans="1:21" ht="15" thickTop="1" x14ac:dyDescent="0.35">
      <c r="I40" s="28"/>
      <c r="J40" s="29"/>
    </row>
    <row r="41" spans="1:21" x14ac:dyDescent="0.35">
      <c r="I41" s="30"/>
      <c r="J41" s="31"/>
    </row>
    <row r="42" spans="1:21" x14ac:dyDescent="0.35">
      <c r="I42" s="32"/>
      <c r="J42" s="33"/>
    </row>
    <row r="43" spans="1:21" x14ac:dyDescent="0.35">
      <c r="I43" s="30"/>
      <c r="J43" s="31"/>
    </row>
    <row r="44" spans="1:21" x14ac:dyDescent="0.35">
      <c r="I44" s="32"/>
      <c r="J44" s="33"/>
    </row>
    <row r="49" spans="1:21" ht="90.5" x14ac:dyDescent="0.35">
      <c r="H49" s="1"/>
      <c r="J49" s="104" t="s">
        <v>103</v>
      </c>
      <c r="K49" s="104"/>
      <c r="L49" s="104"/>
      <c r="M49" s="104"/>
      <c r="N49" s="104"/>
      <c r="O49" s="104"/>
    </row>
    <row r="50" spans="1:21" x14ac:dyDescent="0.35">
      <c r="H50" s="1"/>
    </row>
    <row r="51" spans="1:21" ht="15" thickBot="1" x14ac:dyDescent="0.4">
      <c r="H51" s="1"/>
    </row>
    <row r="52" spans="1:21" ht="25" thickTop="1" thickBot="1" x14ac:dyDescent="0.4">
      <c r="A52" s="99"/>
      <c r="B52" s="100"/>
      <c r="C52" s="2" t="s">
        <v>84</v>
      </c>
      <c r="D52" s="3" t="s">
        <v>85</v>
      </c>
      <c r="E52" s="3" t="s">
        <v>86</v>
      </c>
      <c r="F52" s="4" t="s">
        <v>87</v>
      </c>
      <c r="H52" s="1"/>
      <c r="S52" s="59" t="s">
        <v>108</v>
      </c>
      <c r="T52" t="s">
        <v>90</v>
      </c>
    </row>
    <row r="53" spans="1:21" ht="24" thickTop="1" thickBot="1" x14ac:dyDescent="0.4">
      <c r="A53" s="5" t="s">
        <v>88</v>
      </c>
      <c r="B53" s="6" t="s">
        <v>104</v>
      </c>
      <c r="C53" s="7">
        <v>44</v>
      </c>
      <c r="D53" s="23">
        <v>28.94736842105263</v>
      </c>
      <c r="E53" s="23">
        <v>29.530201342281877</v>
      </c>
      <c r="F53" s="24">
        <v>29.530201342281877</v>
      </c>
      <c r="H53" s="1"/>
      <c r="I53" t="s">
        <v>108</v>
      </c>
      <c r="J53" s="56" t="s">
        <v>84</v>
      </c>
      <c r="S53" s="28" t="s">
        <v>104</v>
      </c>
      <c r="T53" s="22">
        <v>0.29499999999999998</v>
      </c>
    </row>
    <row r="54" spans="1:21" ht="23.5" thickTop="1" x14ac:dyDescent="0.35">
      <c r="A54" s="10"/>
      <c r="B54" s="11" t="s">
        <v>105</v>
      </c>
      <c r="C54" s="12">
        <v>105</v>
      </c>
      <c r="D54" s="13">
        <v>69.078947368421055</v>
      </c>
      <c r="E54" s="13">
        <v>70.469798657718115</v>
      </c>
      <c r="F54" s="14">
        <v>100</v>
      </c>
      <c r="H54" s="1"/>
      <c r="I54" s="6" t="s">
        <v>104</v>
      </c>
      <c r="J54" s="57">
        <v>44</v>
      </c>
      <c r="S54" s="30" t="s">
        <v>105</v>
      </c>
      <c r="T54" s="22">
        <v>0.70499999999999996</v>
      </c>
    </row>
    <row r="55" spans="1:21" x14ac:dyDescent="0.35">
      <c r="A55" s="10"/>
      <c r="B55" s="11" t="s">
        <v>89</v>
      </c>
      <c r="C55" s="12">
        <v>149</v>
      </c>
      <c r="D55" s="13">
        <v>98.026315789473685</v>
      </c>
      <c r="E55" s="13">
        <v>100</v>
      </c>
      <c r="F55" s="53"/>
      <c r="H55" s="1"/>
      <c r="I55" s="11" t="s">
        <v>105</v>
      </c>
      <c r="J55" s="58">
        <v>105</v>
      </c>
    </row>
    <row r="56" spans="1:21" x14ac:dyDescent="0.35">
      <c r="A56" s="10" t="s">
        <v>106</v>
      </c>
      <c r="B56" s="11" t="s">
        <v>107</v>
      </c>
      <c r="C56" s="12">
        <v>3</v>
      </c>
      <c r="D56" s="13">
        <v>1.9736842105263157</v>
      </c>
      <c r="E56" s="54"/>
      <c r="F56" s="53"/>
    </row>
    <row r="57" spans="1:21" ht="15" thickBot="1" x14ac:dyDescent="0.4">
      <c r="A57" s="16" t="s">
        <v>89</v>
      </c>
      <c r="B57" s="17"/>
      <c r="C57" s="18">
        <v>152</v>
      </c>
      <c r="D57" s="19">
        <v>100</v>
      </c>
      <c r="E57" s="55"/>
      <c r="F57" s="20"/>
    </row>
    <row r="58" spans="1:21" ht="15" thickTop="1" x14ac:dyDescent="0.35"/>
    <row r="59" spans="1:21" x14ac:dyDescent="0.35">
      <c r="U59">
        <v>2</v>
      </c>
    </row>
  </sheetData>
  <mergeCells count="8">
    <mergeCell ref="A2:F2"/>
    <mergeCell ref="A3:B3"/>
    <mergeCell ref="A4:A22"/>
    <mergeCell ref="J49:O49"/>
    <mergeCell ref="A52:B52"/>
    <mergeCell ref="A29:F29"/>
    <mergeCell ref="A30:B30"/>
    <mergeCell ref="A31:A36"/>
  </mergeCells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BD432-8F22-413D-A6D5-9F8D6A2B66D7}">
  <dimension ref="A1:J39"/>
  <sheetViews>
    <sheetView topLeftCell="A29" workbookViewId="0">
      <selection activeCell="K32" sqref="K32"/>
    </sheetView>
  </sheetViews>
  <sheetFormatPr defaultRowHeight="14.5" x14ac:dyDescent="0.35"/>
  <cols>
    <col min="7" max="7" width="10.26953125" customWidth="1"/>
    <col min="10" max="10" width="14.36328125" customWidth="1"/>
  </cols>
  <sheetData>
    <row r="1" spans="1:10" ht="15" thickTop="1" x14ac:dyDescent="0.35">
      <c r="A1" s="116"/>
      <c r="B1" s="112" t="s">
        <v>111</v>
      </c>
      <c r="C1" s="113"/>
      <c r="D1" s="113"/>
      <c r="E1" s="113"/>
      <c r="F1" s="113"/>
      <c r="G1" s="114"/>
    </row>
    <row r="2" spans="1:10" x14ac:dyDescent="0.35">
      <c r="A2" s="117"/>
      <c r="B2" s="119" t="s">
        <v>88</v>
      </c>
      <c r="C2" s="120"/>
      <c r="D2" s="120" t="s">
        <v>106</v>
      </c>
      <c r="E2" s="120"/>
      <c r="F2" s="120" t="s">
        <v>89</v>
      </c>
      <c r="G2" s="121"/>
    </row>
    <row r="3" spans="1:10" ht="15" thickBot="1" x14ac:dyDescent="0.4">
      <c r="A3" s="118"/>
      <c r="B3" s="62" t="s">
        <v>40</v>
      </c>
      <c r="C3" s="63" t="s">
        <v>85</v>
      </c>
      <c r="D3" s="63" t="s">
        <v>40</v>
      </c>
      <c r="E3" s="63" t="s">
        <v>85</v>
      </c>
      <c r="F3" s="63" t="s">
        <v>40</v>
      </c>
      <c r="G3" s="64" t="s">
        <v>85</v>
      </c>
    </row>
    <row r="4" spans="1:10" ht="58.5" thickTop="1" thickBot="1" x14ac:dyDescent="0.4">
      <c r="A4" s="77" t="s">
        <v>112</v>
      </c>
      <c r="B4" s="78">
        <v>150</v>
      </c>
      <c r="C4" s="79">
        <v>0.98684210526315796</v>
      </c>
      <c r="D4" s="80">
        <v>2</v>
      </c>
      <c r="E4" s="79">
        <v>1.3157894736842106E-2</v>
      </c>
      <c r="F4" s="80">
        <v>152</v>
      </c>
      <c r="G4" s="81">
        <v>1</v>
      </c>
    </row>
    <row r="5" spans="1:10" ht="15" thickTop="1" x14ac:dyDescent="0.35">
      <c r="A5" s="60"/>
      <c r="B5" s="60"/>
      <c r="C5" s="60"/>
      <c r="D5" s="60"/>
      <c r="E5" s="60"/>
      <c r="F5" s="61"/>
    </row>
    <row r="6" spans="1:10" x14ac:dyDescent="0.35">
      <c r="A6" s="60"/>
      <c r="B6" s="60"/>
      <c r="C6" s="60"/>
      <c r="D6" s="60"/>
      <c r="E6" s="60"/>
      <c r="F6" s="61"/>
    </row>
    <row r="7" spans="1:10" ht="15" thickBot="1" x14ac:dyDescent="0.4">
      <c r="A7" s="109"/>
      <c r="B7" s="109"/>
      <c r="C7" s="109"/>
      <c r="D7" s="109"/>
      <c r="E7" s="109"/>
      <c r="F7" s="61"/>
    </row>
    <row r="8" spans="1:10" ht="15" thickTop="1" x14ac:dyDescent="0.35">
      <c r="A8" s="110"/>
      <c r="B8" s="112" t="s">
        <v>109</v>
      </c>
      <c r="C8" s="113"/>
      <c r="D8" s="113"/>
      <c r="E8" s="114" t="s">
        <v>89</v>
      </c>
      <c r="F8" s="61"/>
    </row>
    <row r="9" spans="1:10" ht="24.5" thickBot="1" x14ac:dyDescent="0.4">
      <c r="A9" s="111"/>
      <c r="B9" s="62" t="s">
        <v>110</v>
      </c>
      <c r="C9" s="63" t="s">
        <v>78</v>
      </c>
      <c r="D9" s="63" t="s">
        <v>79</v>
      </c>
      <c r="E9" s="115"/>
      <c r="F9" s="61"/>
      <c r="G9" t="s">
        <v>83</v>
      </c>
      <c r="H9" s="62" t="s">
        <v>110</v>
      </c>
      <c r="I9" s="63" t="s">
        <v>78</v>
      </c>
      <c r="J9" s="94" t="s">
        <v>79</v>
      </c>
    </row>
    <row r="10" spans="1:10" ht="23.5" thickTop="1" x14ac:dyDescent="0.35">
      <c r="A10" s="65" t="s">
        <v>49</v>
      </c>
      <c r="B10" s="66">
        <v>1</v>
      </c>
      <c r="C10" s="67">
        <v>0</v>
      </c>
      <c r="D10" s="67">
        <v>0</v>
      </c>
      <c r="E10" s="68">
        <v>1</v>
      </c>
      <c r="F10" s="61"/>
      <c r="G10" s="65" t="s">
        <v>49</v>
      </c>
      <c r="H10" s="66">
        <v>1</v>
      </c>
      <c r="I10" s="67">
        <v>0</v>
      </c>
      <c r="J10" s="95">
        <v>0</v>
      </c>
    </row>
    <row r="11" spans="1:10" x14ac:dyDescent="0.35">
      <c r="A11" s="69" t="s">
        <v>35</v>
      </c>
      <c r="B11" s="70">
        <v>33</v>
      </c>
      <c r="C11" s="71">
        <v>13</v>
      </c>
      <c r="D11" s="71">
        <v>3</v>
      </c>
      <c r="E11" s="72">
        <v>49</v>
      </c>
      <c r="F11" s="61"/>
      <c r="G11" s="69" t="s">
        <v>35</v>
      </c>
      <c r="H11" s="70">
        <v>33</v>
      </c>
      <c r="I11" s="71">
        <v>13</v>
      </c>
      <c r="J11" s="96">
        <v>3</v>
      </c>
    </row>
    <row r="12" spans="1:10" x14ac:dyDescent="0.35">
      <c r="A12" s="69" t="s">
        <v>56</v>
      </c>
      <c r="B12" s="70">
        <v>1</v>
      </c>
      <c r="C12" s="71">
        <v>0</v>
      </c>
      <c r="D12" s="71">
        <v>0</v>
      </c>
      <c r="E12" s="72">
        <v>1</v>
      </c>
      <c r="F12" s="61"/>
      <c r="G12" s="69" t="s">
        <v>56</v>
      </c>
      <c r="H12" s="70">
        <v>1</v>
      </c>
      <c r="I12" s="71">
        <v>0</v>
      </c>
      <c r="J12" s="96">
        <v>0</v>
      </c>
    </row>
    <row r="13" spans="1:10" ht="23" x14ac:dyDescent="0.35">
      <c r="A13" s="69" t="s">
        <v>54</v>
      </c>
      <c r="B13" s="70">
        <v>1</v>
      </c>
      <c r="C13" s="71">
        <v>0</v>
      </c>
      <c r="D13" s="71">
        <v>0</v>
      </c>
      <c r="E13" s="72">
        <v>1</v>
      </c>
      <c r="F13" s="61"/>
      <c r="G13" s="69" t="s">
        <v>54</v>
      </c>
      <c r="H13" s="70">
        <v>1</v>
      </c>
      <c r="I13" s="71">
        <v>0</v>
      </c>
      <c r="J13" s="96">
        <v>0</v>
      </c>
    </row>
    <row r="14" spans="1:10" x14ac:dyDescent="0.35">
      <c r="A14" s="69" t="s">
        <v>41</v>
      </c>
      <c r="B14" s="70">
        <v>0</v>
      </c>
      <c r="C14" s="71">
        <v>1</v>
      </c>
      <c r="D14" s="71">
        <v>0</v>
      </c>
      <c r="E14" s="72">
        <v>1</v>
      </c>
      <c r="F14" s="61"/>
      <c r="G14" s="69" t="s">
        <v>41</v>
      </c>
      <c r="H14" s="70">
        <v>0</v>
      </c>
      <c r="I14" s="71">
        <v>1</v>
      </c>
      <c r="J14" s="96">
        <v>0</v>
      </c>
    </row>
    <row r="15" spans="1:10" x14ac:dyDescent="0.35">
      <c r="A15" s="69" t="s">
        <v>50</v>
      </c>
      <c r="B15" s="70">
        <v>1</v>
      </c>
      <c r="C15" s="71">
        <v>0</v>
      </c>
      <c r="D15" s="71">
        <v>0</v>
      </c>
      <c r="E15" s="72">
        <v>1</v>
      </c>
      <c r="F15" s="61"/>
      <c r="G15" s="69" t="s">
        <v>50</v>
      </c>
      <c r="H15" s="70">
        <v>1</v>
      </c>
      <c r="I15" s="71">
        <v>0</v>
      </c>
      <c r="J15" s="96">
        <v>0</v>
      </c>
    </row>
    <row r="16" spans="1:10" x14ac:dyDescent="0.35">
      <c r="A16" s="69" t="s">
        <v>45</v>
      </c>
      <c r="B16" s="70">
        <v>1</v>
      </c>
      <c r="C16" s="71">
        <v>0</v>
      </c>
      <c r="D16" s="71">
        <v>0</v>
      </c>
      <c r="E16" s="72">
        <v>1</v>
      </c>
      <c r="F16" s="61"/>
      <c r="G16" s="69" t="s">
        <v>45</v>
      </c>
      <c r="H16" s="70">
        <v>1</v>
      </c>
      <c r="I16" s="71">
        <v>0</v>
      </c>
      <c r="J16" s="96">
        <v>0</v>
      </c>
    </row>
    <row r="17" spans="1:10" x14ac:dyDescent="0.35">
      <c r="A17" s="69" t="s">
        <v>36</v>
      </c>
      <c r="B17" s="70">
        <v>0</v>
      </c>
      <c r="C17" s="71">
        <v>1</v>
      </c>
      <c r="D17" s="71">
        <v>1</v>
      </c>
      <c r="E17" s="72">
        <v>2</v>
      </c>
      <c r="F17" s="61"/>
      <c r="G17" s="69" t="s">
        <v>36</v>
      </c>
      <c r="H17" s="70">
        <v>0</v>
      </c>
      <c r="I17" s="71">
        <v>1</v>
      </c>
      <c r="J17" s="96">
        <v>1</v>
      </c>
    </row>
    <row r="18" spans="1:10" x14ac:dyDescent="0.35">
      <c r="A18" s="69" t="s">
        <v>66</v>
      </c>
      <c r="B18" s="70">
        <v>0</v>
      </c>
      <c r="C18" s="71">
        <v>0</v>
      </c>
      <c r="D18" s="71">
        <v>1</v>
      </c>
      <c r="E18" s="72">
        <v>1</v>
      </c>
      <c r="F18" s="61"/>
      <c r="G18" s="69" t="s">
        <v>66</v>
      </c>
      <c r="H18" s="70">
        <v>0</v>
      </c>
      <c r="I18" s="71">
        <v>0</v>
      </c>
      <c r="J18" s="96">
        <v>1</v>
      </c>
    </row>
    <row r="19" spans="1:10" x14ac:dyDescent="0.35">
      <c r="A19" s="69" t="s">
        <v>47</v>
      </c>
      <c r="B19" s="70">
        <v>0</v>
      </c>
      <c r="C19" s="71">
        <v>1</v>
      </c>
      <c r="D19" s="71">
        <v>0</v>
      </c>
      <c r="E19" s="72">
        <v>1</v>
      </c>
      <c r="F19" s="61"/>
      <c r="G19" s="69" t="s">
        <v>47</v>
      </c>
      <c r="H19" s="70">
        <v>0</v>
      </c>
      <c r="I19" s="71">
        <v>1</v>
      </c>
      <c r="J19" s="96">
        <v>0</v>
      </c>
    </row>
    <row r="20" spans="1:10" x14ac:dyDescent="0.35">
      <c r="A20" s="69" t="s">
        <v>72</v>
      </c>
      <c r="B20" s="70">
        <v>1</v>
      </c>
      <c r="C20" s="71">
        <v>0</v>
      </c>
      <c r="D20" s="71">
        <v>0</v>
      </c>
      <c r="E20" s="72">
        <v>1</v>
      </c>
      <c r="F20" s="61"/>
      <c r="G20" s="69" t="s">
        <v>72</v>
      </c>
      <c r="H20" s="70">
        <v>1</v>
      </c>
      <c r="I20" s="71">
        <v>0</v>
      </c>
      <c r="J20" s="96">
        <v>0</v>
      </c>
    </row>
    <row r="21" spans="1:10" ht="23" x14ac:dyDescent="0.35">
      <c r="A21" s="69" t="s">
        <v>55</v>
      </c>
      <c r="B21" s="70">
        <v>1</v>
      </c>
      <c r="C21" s="71">
        <v>0</v>
      </c>
      <c r="D21" s="71">
        <v>0</v>
      </c>
      <c r="E21" s="72">
        <v>1</v>
      </c>
      <c r="F21" s="61"/>
      <c r="G21" s="69" t="s">
        <v>55</v>
      </c>
      <c r="H21" s="70">
        <v>1</v>
      </c>
      <c r="I21" s="71">
        <v>0</v>
      </c>
      <c r="J21" s="96">
        <v>0</v>
      </c>
    </row>
    <row r="22" spans="1:10" x14ac:dyDescent="0.35">
      <c r="A22" s="69" t="s">
        <v>18</v>
      </c>
      <c r="B22" s="70">
        <v>31</v>
      </c>
      <c r="C22" s="71">
        <v>11</v>
      </c>
      <c r="D22" s="71">
        <v>0</v>
      </c>
      <c r="E22" s="72">
        <v>41</v>
      </c>
      <c r="F22" s="61"/>
      <c r="G22" s="69" t="s">
        <v>18</v>
      </c>
      <c r="H22" s="70">
        <v>31</v>
      </c>
      <c r="I22" s="71">
        <v>11</v>
      </c>
      <c r="J22" s="96">
        <v>0</v>
      </c>
    </row>
    <row r="23" spans="1:10" x14ac:dyDescent="0.35">
      <c r="A23" s="69" t="s">
        <v>42</v>
      </c>
      <c r="B23" s="70">
        <v>1</v>
      </c>
      <c r="C23" s="71">
        <v>1</v>
      </c>
      <c r="D23" s="71">
        <v>0</v>
      </c>
      <c r="E23" s="72">
        <v>2</v>
      </c>
      <c r="F23" s="61"/>
      <c r="G23" s="69" t="s">
        <v>42</v>
      </c>
      <c r="H23" s="70">
        <v>1</v>
      </c>
      <c r="I23" s="71">
        <v>1</v>
      </c>
      <c r="J23" s="96">
        <v>0</v>
      </c>
    </row>
    <row r="24" spans="1:10" x14ac:dyDescent="0.35">
      <c r="A24" s="69" t="s">
        <v>44</v>
      </c>
      <c r="B24" s="70">
        <v>2</v>
      </c>
      <c r="C24" s="71">
        <v>0</v>
      </c>
      <c r="D24" s="71">
        <v>0</v>
      </c>
      <c r="E24" s="72">
        <v>2</v>
      </c>
      <c r="F24" s="61"/>
      <c r="G24" s="69" t="s">
        <v>44</v>
      </c>
      <c r="H24" s="70">
        <v>2</v>
      </c>
      <c r="I24" s="71">
        <v>0</v>
      </c>
      <c r="J24" s="96">
        <v>0</v>
      </c>
    </row>
    <row r="25" spans="1:10" ht="23" x14ac:dyDescent="0.35">
      <c r="A25" s="69" t="s">
        <v>48</v>
      </c>
      <c r="B25" s="70">
        <v>2</v>
      </c>
      <c r="C25" s="71">
        <v>1</v>
      </c>
      <c r="D25" s="71">
        <v>0</v>
      </c>
      <c r="E25" s="72">
        <v>3</v>
      </c>
      <c r="F25" s="61"/>
      <c r="G25" s="69" t="s">
        <v>48</v>
      </c>
      <c r="H25" s="70">
        <v>2</v>
      </c>
      <c r="I25" s="71">
        <v>1</v>
      </c>
      <c r="J25" s="96">
        <v>0</v>
      </c>
    </row>
    <row r="26" spans="1:10" x14ac:dyDescent="0.35">
      <c r="A26" s="69" t="s">
        <v>34</v>
      </c>
      <c r="B26" s="70">
        <v>30</v>
      </c>
      <c r="C26" s="71">
        <v>9</v>
      </c>
      <c r="D26" s="71">
        <v>1</v>
      </c>
      <c r="E26" s="72">
        <v>40</v>
      </c>
      <c r="F26" s="61"/>
      <c r="G26" s="69" t="s">
        <v>34</v>
      </c>
      <c r="H26" s="70">
        <v>30</v>
      </c>
      <c r="I26" s="71">
        <v>9</v>
      </c>
      <c r="J26" s="96">
        <v>1</v>
      </c>
    </row>
    <row r="27" spans="1:10" x14ac:dyDescent="0.35">
      <c r="A27" s="69" t="s">
        <v>69</v>
      </c>
      <c r="B27" s="70">
        <v>0</v>
      </c>
      <c r="C27" s="71">
        <v>1</v>
      </c>
      <c r="D27" s="71">
        <v>0</v>
      </c>
      <c r="E27" s="72">
        <v>1</v>
      </c>
      <c r="F27" s="61"/>
      <c r="G27" s="69" t="s">
        <v>69</v>
      </c>
      <c r="H27" s="70">
        <v>0</v>
      </c>
      <c r="I27" s="71">
        <v>1</v>
      </c>
      <c r="J27" s="96">
        <v>0</v>
      </c>
    </row>
    <row r="28" spans="1:10" ht="15" thickBot="1" x14ac:dyDescent="0.4">
      <c r="A28" s="76"/>
      <c r="B28" s="73">
        <v>106</v>
      </c>
      <c r="C28" s="74">
        <v>40</v>
      </c>
      <c r="D28" s="74">
        <v>6</v>
      </c>
      <c r="E28" s="75">
        <v>152</v>
      </c>
      <c r="F28" s="61"/>
    </row>
    <row r="32" spans="1:10" ht="15" thickBot="1" x14ac:dyDescent="0.4">
      <c r="A32" s="107" t="s">
        <v>113</v>
      </c>
      <c r="B32" s="107"/>
      <c r="C32" s="107"/>
      <c r="D32" s="107"/>
      <c r="E32" s="61"/>
    </row>
    <row r="33" spans="1:5" ht="36.5" thickTop="1" thickBot="1" x14ac:dyDescent="0.4">
      <c r="A33" s="108"/>
      <c r="B33" s="82" t="s">
        <v>114</v>
      </c>
      <c r="C33" s="83" t="s">
        <v>115</v>
      </c>
      <c r="D33" s="84" t="s">
        <v>116</v>
      </c>
      <c r="E33" s="61"/>
    </row>
    <row r="34" spans="1:5" ht="35" thickTop="1" x14ac:dyDescent="0.35">
      <c r="A34" s="85" t="s">
        <v>117</v>
      </c>
      <c r="B34" s="86" t="s">
        <v>121</v>
      </c>
      <c r="C34" s="67">
        <v>34</v>
      </c>
      <c r="D34" s="87">
        <v>2.2206842621866545E-2</v>
      </c>
      <c r="E34" s="61"/>
    </row>
    <row r="35" spans="1:5" ht="23" x14ac:dyDescent="0.35">
      <c r="A35" s="88" t="s">
        <v>118</v>
      </c>
      <c r="B35" s="89">
        <v>32.71135547486081</v>
      </c>
      <c r="C35" s="71">
        <v>34</v>
      </c>
      <c r="D35" s="90">
        <v>0.53071889565948394</v>
      </c>
      <c r="E35" s="61"/>
    </row>
    <row r="36" spans="1:5" ht="23.5" thickBot="1" x14ac:dyDescent="0.4">
      <c r="A36" s="91" t="s">
        <v>119</v>
      </c>
      <c r="B36" s="73">
        <v>150</v>
      </c>
      <c r="C36" s="92"/>
      <c r="D36" s="93"/>
      <c r="E36" s="61"/>
    </row>
    <row r="37" spans="1:5" ht="15" thickTop="1" x14ac:dyDescent="0.35">
      <c r="A37" s="106" t="s">
        <v>120</v>
      </c>
      <c r="B37" s="106"/>
      <c r="C37" s="106"/>
      <c r="D37" s="106"/>
      <c r="E37" s="61"/>
    </row>
    <row r="39" spans="1:5" x14ac:dyDescent="0.35">
      <c r="B39" s="97" t="s">
        <v>122</v>
      </c>
      <c r="C39" s="97"/>
      <c r="D39" s="97"/>
    </row>
  </sheetData>
  <mergeCells count="12">
    <mergeCell ref="A1:A3"/>
    <mergeCell ref="B1:G1"/>
    <mergeCell ref="B2:C2"/>
    <mergeCell ref="D2:E2"/>
    <mergeCell ref="F2:G2"/>
    <mergeCell ref="A37:D37"/>
    <mergeCell ref="A32:D32"/>
    <mergeCell ref="A33"/>
    <mergeCell ref="A7:E7"/>
    <mergeCell ref="A8:A9"/>
    <mergeCell ref="B8:D8"/>
    <mergeCell ref="E8:E9"/>
  </mergeCells>
  <pageMargins left="0.7" right="0.7" top="0.75" bottom="0.75" header="0.3" footer="0.3"/>
  <pageSetup orientation="portrait" horizontalDpi="300" verticalDpi="3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coded data</vt:lpstr>
      <vt:lpstr>pivot and charts</vt:lpstr>
      <vt:lpstr>inference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Adenike Olaniran</cp:lastModifiedBy>
  <cp:revision/>
  <dcterms:created xsi:type="dcterms:W3CDTF">2023-12-15T10:46:10Z</dcterms:created>
  <dcterms:modified xsi:type="dcterms:W3CDTF">2026-02-22T14:36:20Z</dcterms:modified>
  <cp:category/>
  <cp:contentStatus/>
</cp:coreProperties>
</file>